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cd8723378a444bf5/Dokumen/"/>
    </mc:Choice>
  </mc:AlternateContent>
  <xr:revisionPtr revIDLastSave="12" documentId="8_{DBD66A2E-8D73-495A-BE3C-17AE99459D70}" xr6:coauthVersionLast="47" xr6:coauthVersionMax="47" xr10:uidLastSave="{83E3E8CA-F87E-42D3-944C-F4729253BAB3}"/>
  <bookViews>
    <workbookView xWindow="-108" yWindow="-108" windowWidth="23256" windowHeight="12456" xr2:uid="{363FF398-FAD0-453B-8A3C-3C114B3C85AD}"/>
  </bookViews>
  <sheets>
    <sheet name="Sheet5" sheetId="5" r:id="rId1"/>
    <sheet name="Customer_Master" sheetId="1" r:id="rId2"/>
    <sheet name="Loan_Accounts" sheetId="2" r:id="rId3"/>
  </sheets>
  <definedNames>
    <definedName name="_xlcn.WorksheetConnection_Book1Table1" hidden="1">Table1[]</definedName>
    <definedName name="_xlcn.WorksheetConnection_Book1Table4" hidden="1">Table4[]</definedName>
    <definedName name="Slicer_City">#N/A</definedName>
    <definedName name="Slicer_Loan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 id="Table4" name="Table4" connection="WorksheetConnection_Book1!Table4"/>
        </x15:modelTables>
        <x15:modelRelationships>
          <x15:modelRelationship fromTable="Table1" fromColumn="Cust_ID" toTable="Table4" toColumn="Cus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737766-A537-4EB3-80E4-FAC56076D1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9AD84C7-9CB8-41F3-8713-490BD3809085}" name="WorksheetConnection_Book1!Table1" type="102" refreshedVersion="8" minRefreshableVersion="5">
    <extLst>
      <ext xmlns:x15="http://schemas.microsoft.com/office/spreadsheetml/2010/11/main" uri="{DE250136-89BD-433C-8126-D09CA5730AF9}">
        <x15:connection id="Table1" autoDelete="1">
          <x15:rangePr sourceName="_xlcn.WorksheetConnection_Book1Table1"/>
        </x15:connection>
      </ext>
    </extLst>
  </connection>
  <connection id="3" xr16:uid="{A0A1F0B6-2F74-40C8-9CEA-B277D9EC5089}" name="WorksheetConnection_Book1!Table4" type="102" refreshedVersion="8" minRefreshableVersion="5">
    <extLst>
      <ext xmlns:x15="http://schemas.microsoft.com/office/spreadsheetml/2010/11/main" uri="{DE250136-89BD-433C-8126-D09CA5730AF9}">
        <x15:connection id="Table4">
          <x15:rangePr sourceName="_xlcn.WorksheetConnection_Book1Table4"/>
        </x15:connection>
      </ext>
    </extLst>
  </connection>
</connections>
</file>

<file path=xl/sharedStrings.xml><?xml version="1.0" encoding="utf-8"?>
<sst xmlns="http://schemas.openxmlformats.org/spreadsheetml/2006/main" count="180" uniqueCount="75">
  <si>
    <t>Cust_ID</t>
  </si>
  <si>
    <t>Cust_Name</t>
  </si>
  <si>
    <t>City</t>
  </si>
  <si>
    <t xml:space="preserve">sanket SHINDE </t>
  </si>
  <si>
    <t>Pune</t>
  </si>
  <si>
    <t>rahul Patil</t>
  </si>
  <si>
    <t>Satara</t>
  </si>
  <si>
    <t>amit sharma</t>
  </si>
  <si>
    <t>Mumbai</t>
  </si>
  <si>
    <t xml:space="preserve">VIKRAM MANE </t>
  </si>
  <si>
    <t>Kolhapur</t>
  </si>
  <si>
    <t xml:space="preserve">pooja desai </t>
  </si>
  <si>
    <t>Ajay Jagtap</t>
  </si>
  <si>
    <t>SNEHA KULKARNI</t>
  </si>
  <si>
    <t xml:space="preserve">Pranav Joshi </t>
  </si>
  <si>
    <t>rohit kadam</t>
  </si>
  <si>
    <t xml:space="preserve">Deepak Pawar </t>
  </si>
  <si>
    <t>Mahesh Bhosale</t>
  </si>
  <si>
    <t>Anjali GAIKWAD</t>
  </si>
  <si>
    <t>Sagar Naik</t>
  </si>
  <si>
    <t xml:space="preserve">Yogesh More </t>
  </si>
  <si>
    <t>Kiran Shinde</t>
  </si>
  <si>
    <t>Nagpur</t>
  </si>
  <si>
    <t>Nitin Patil</t>
  </si>
  <si>
    <t>Nashik</t>
  </si>
  <si>
    <t>Amol Deshmukh</t>
  </si>
  <si>
    <t>Priyanka Joshi</t>
  </si>
  <si>
    <t>Rahul Jadhav</t>
  </si>
  <si>
    <t>Vikas Chavan</t>
  </si>
  <si>
    <t>Manoj Tiwari</t>
  </si>
  <si>
    <t>Kavita Kale</t>
  </si>
  <si>
    <t>Sandeep Raut</t>
  </si>
  <si>
    <t>Sachin Patil</t>
  </si>
  <si>
    <t>Swati Mohite</t>
  </si>
  <si>
    <t>Ashwin Narvekar</t>
  </si>
  <si>
    <t>Ganesh Shinde</t>
  </si>
  <si>
    <t>Pallavi Kadam</t>
  </si>
  <si>
    <t>Tushar Sutar</t>
  </si>
  <si>
    <t>Abhijit Sawant</t>
  </si>
  <si>
    <t xml:space="preserve">Rohan Rane </t>
  </si>
  <si>
    <t>Archana Ghorpade</t>
  </si>
  <si>
    <t>Chetan Patil</t>
  </si>
  <si>
    <t xml:space="preserve">Dinesh Mane </t>
  </si>
  <si>
    <t>Megha Kulkarni</t>
  </si>
  <si>
    <t>Pratiksha Thorat</t>
  </si>
  <si>
    <t>Siddharth Shah</t>
  </si>
  <si>
    <t>Harshal Gawde</t>
  </si>
  <si>
    <t>Rupali Nikam</t>
  </si>
  <si>
    <t>Vishal Shinde</t>
  </si>
  <si>
    <t>Swapnil Joshi</t>
  </si>
  <si>
    <t>Snehal Patil</t>
  </si>
  <si>
    <t>Vaibhav Mane</t>
  </si>
  <si>
    <t>Akshay Kadam</t>
  </si>
  <si>
    <t>Jyoti Bhosale</t>
  </si>
  <si>
    <t>Pradeep Naik</t>
  </si>
  <si>
    <t>Mayur Jadhav</t>
  </si>
  <si>
    <t>Shweta Pawar</t>
  </si>
  <si>
    <t>Santosh More</t>
  </si>
  <si>
    <t>Vinayak Patil</t>
  </si>
  <si>
    <t>Loan_Type</t>
  </si>
  <si>
    <t>Loan_Amount</t>
  </si>
  <si>
    <t>Outstanding</t>
  </si>
  <si>
    <t>DPD</t>
  </si>
  <si>
    <t>Home Loan</t>
  </si>
  <si>
    <t>Personal Loan</t>
  </si>
  <si>
    <t>Gold Loan</t>
  </si>
  <si>
    <t>10 cursor</t>
  </si>
  <si>
    <t>Vehicle Loan</t>
  </si>
  <si>
    <t>Clear_Name</t>
  </si>
  <si>
    <t>Row Labels</t>
  </si>
  <si>
    <t>Grand Total</t>
  </si>
  <si>
    <t>Column Labels</t>
  </si>
  <si>
    <t>Sum of Outstanding</t>
  </si>
  <si>
    <t>clean_cust_name</t>
  </si>
  <si>
    <t>Loan_Status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</si>
</sst>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1"/>
      <color rgb="FF1F1F1F"/>
      <name val="Arial"/>
      <family val="2"/>
    </font>
    <font>
      <b/>
      <sz val="11"/>
      <color rgb="FF1F1F1F"/>
      <name val="Arial"/>
      <family val="2"/>
    </font>
    <font>
      <sz val="9"/>
      <color rgb="FF1F1F1F"/>
      <name val="Google Sans Text"/>
      <family val="2"/>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2">
    <xf numFmtId="0" fontId="0" fillId="0" borderId="0" xfId="0"/>
    <xf numFmtId="0" fontId="2" fillId="0" borderId="1" xfId="0" applyFont="1" applyBorder="1" applyAlignment="1">
      <alignment horizontal="left" vertical="center" wrapText="1" indent="1" readingOrder="1"/>
    </xf>
    <xf numFmtId="0" fontId="4" fillId="0" borderId="1" xfId="0" applyFont="1" applyBorder="1" applyAlignment="1">
      <alignment horizontal="left" vertical="center" wrapText="1" indent="1" readingOrder="1"/>
    </xf>
    <xf numFmtId="0" fontId="0" fillId="0" borderId="1" xfId="0" applyBorder="1"/>
    <xf numFmtId="0" fontId="0" fillId="0" borderId="0" xfId="0" pivotButton="1"/>
    <xf numFmtId="0" fontId="0" fillId="0" borderId="0" xfId="0" applyAlignment="1">
      <alignment horizontal="left"/>
    </xf>
    <xf numFmtId="0" fontId="2" fillId="0" borderId="3" xfId="0" applyFont="1" applyBorder="1" applyAlignment="1">
      <alignment horizontal="left" vertical="center" wrapText="1" indent="1" readingOrder="1"/>
    </xf>
    <xf numFmtId="0" fontId="0" fillId="0" borderId="4" xfId="0" applyBorder="1"/>
    <xf numFmtId="0" fontId="3" fillId="0" borderId="5" xfId="0" applyFont="1" applyBorder="1" applyAlignment="1">
      <alignment horizontal="left" vertical="center" wrapText="1" indent="1" readingOrder="1"/>
    </xf>
    <xf numFmtId="0" fontId="3" fillId="0" borderId="6" xfId="0" applyFont="1" applyBorder="1" applyAlignment="1">
      <alignment horizontal="left" vertical="center" wrapText="1" indent="1" readingOrder="1"/>
    </xf>
    <xf numFmtId="0" fontId="3" fillId="0" borderId="7" xfId="0" applyFont="1" applyBorder="1" applyAlignment="1">
      <alignment horizontal="left" vertical="center" wrapText="1" indent="1" readingOrder="1"/>
    </xf>
    <xf numFmtId="0" fontId="2" fillId="0" borderId="8" xfId="0" applyFont="1" applyBorder="1" applyAlignment="1">
      <alignment horizontal="left" vertical="center" wrapText="1" indent="1" readingOrder="1"/>
    </xf>
    <xf numFmtId="0" fontId="4" fillId="0" borderId="9" xfId="0" applyFont="1" applyBorder="1" applyAlignment="1">
      <alignment horizontal="left" vertical="center" wrapText="1" indent="1" readingOrder="1"/>
    </xf>
    <xf numFmtId="0" fontId="2" fillId="0" borderId="9" xfId="0" applyFont="1" applyBorder="1" applyAlignment="1">
      <alignment horizontal="left" vertical="center" wrapText="1" indent="1" readingOrder="1"/>
    </xf>
    <xf numFmtId="0" fontId="0" fillId="0" borderId="9" xfId="0" applyBorder="1"/>
    <xf numFmtId="0" fontId="0" fillId="0" borderId="10" xfId="0" applyBorder="1"/>
    <xf numFmtId="0" fontId="0" fillId="2" borderId="2" xfId="0" applyFill="1" applyBorder="1"/>
    <xf numFmtId="0" fontId="0" fillId="0" borderId="2" xfId="0" applyBorder="1"/>
    <xf numFmtId="0" fontId="1" fillId="2" borderId="2" xfId="0" applyFont="1" applyFill="1" applyBorder="1"/>
    <xf numFmtId="0" fontId="1" fillId="0" borderId="2" xfId="0" applyFont="1" applyBorder="1"/>
    <xf numFmtId="0" fontId="1" fillId="2" borderId="0" xfId="0" applyFont="1" applyFill="1"/>
    <xf numFmtId="0" fontId="0" fillId="2" borderId="0" xfId="0" applyFill="1"/>
  </cellXfs>
  <cellStyles count="1">
    <cellStyle name="Normal" xfId="0" builtinId="0"/>
  </cellStyles>
  <dxfs count="21">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1F1F1F"/>
        <name val="Google Sans Text"/>
        <family val="2"/>
        <scheme val="none"/>
      </font>
      <alignment horizontal="left" vertical="center" textRotation="0" wrapText="1" indent="1"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1F1F1F"/>
        <name val="Arial"/>
        <family val="2"/>
        <scheme val="none"/>
      </font>
      <fill>
        <patternFill patternType="none">
          <fgColor indexed="64"/>
          <bgColor indexed="65"/>
        </patternFill>
      </fill>
      <alignment horizontal="left" vertical="center" textRotation="0" wrapText="1" indent="1" justifyLastLine="0" shrinkToFit="0" readingOrder="1"/>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2.xlsx]Sheet5!PivotTable3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80314960629921"/>
          <c:y val="0.15999562554680666"/>
          <c:w val="0.61955314960629926"/>
          <c:h val="0.65853091280256637"/>
        </c:manualLayout>
      </c:layout>
      <c:barChart>
        <c:barDir val="col"/>
        <c:grouping val="clustered"/>
        <c:varyColors val="0"/>
        <c:ser>
          <c:idx val="0"/>
          <c:order val="0"/>
          <c:tx>
            <c:strRef>
              <c:f>Sheet5!$B$3:$B$4</c:f>
              <c:strCache>
                <c:ptCount val="1"/>
                <c:pt idx="0">
                  <c:v>Gold Loan</c:v>
                </c:pt>
              </c:strCache>
            </c:strRef>
          </c:tx>
          <c:spPr>
            <a:solidFill>
              <a:schemeClr val="accent1"/>
            </a:solidFill>
            <a:ln>
              <a:noFill/>
            </a:ln>
            <a:effectLst/>
          </c:spPr>
          <c:invertIfNegative val="0"/>
          <c:cat>
            <c:strRef>
              <c:f>Sheet5!$A$5:$A$11</c:f>
              <c:strCache>
                <c:ptCount val="6"/>
                <c:pt idx="0">
                  <c:v>Kolhapur</c:v>
                </c:pt>
                <c:pt idx="1">
                  <c:v>Mumbai</c:v>
                </c:pt>
                <c:pt idx="2">
                  <c:v>Nagpur</c:v>
                </c:pt>
                <c:pt idx="3">
                  <c:v>Nashik</c:v>
                </c:pt>
                <c:pt idx="4">
                  <c:v>Pune</c:v>
                </c:pt>
                <c:pt idx="5">
                  <c:v>Satara</c:v>
                </c:pt>
              </c:strCache>
            </c:strRef>
          </c:cat>
          <c:val>
            <c:numRef>
              <c:f>Sheet5!$B$5:$B$11</c:f>
              <c:numCache>
                <c:formatCode>General</c:formatCode>
                <c:ptCount val="6"/>
                <c:pt idx="0">
                  <c:v>550000</c:v>
                </c:pt>
                <c:pt idx="1">
                  <c:v>830000</c:v>
                </c:pt>
                <c:pt idx="2">
                  <c:v>350000</c:v>
                </c:pt>
                <c:pt idx="3">
                  <c:v>220000</c:v>
                </c:pt>
                <c:pt idx="5">
                  <c:v>230000</c:v>
                </c:pt>
              </c:numCache>
            </c:numRef>
          </c:val>
          <c:extLst>
            <c:ext xmlns:c16="http://schemas.microsoft.com/office/drawing/2014/chart" uri="{C3380CC4-5D6E-409C-BE32-E72D297353CC}">
              <c16:uniqueId val="{00000000-28BC-4AE2-9759-8D72440271C6}"/>
            </c:ext>
          </c:extLst>
        </c:ser>
        <c:ser>
          <c:idx val="1"/>
          <c:order val="1"/>
          <c:tx>
            <c:strRef>
              <c:f>Sheet5!$C$3:$C$4</c:f>
              <c:strCache>
                <c:ptCount val="1"/>
                <c:pt idx="0">
                  <c:v>Home Loan</c:v>
                </c:pt>
              </c:strCache>
            </c:strRef>
          </c:tx>
          <c:spPr>
            <a:solidFill>
              <a:schemeClr val="accent2"/>
            </a:solidFill>
            <a:ln>
              <a:noFill/>
            </a:ln>
            <a:effectLst/>
          </c:spPr>
          <c:invertIfNegative val="0"/>
          <c:cat>
            <c:strRef>
              <c:f>Sheet5!$A$5:$A$11</c:f>
              <c:strCache>
                <c:ptCount val="6"/>
                <c:pt idx="0">
                  <c:v>Kolhapur</c:v>
                </c:pt>
                <c:pt idx="1">
                  <c:v>Mumbai</c:v>
                </c:pt>
                <c:pt idx="2">
                  <c:v>Nagpur</c:v>
                </c:pt>
                <c:pt idx="3">
                  <c:v>Nashik</c:v>
                </c:pt>
                <c:pt idx="4">
                  <c:v>Pune</c:v>
                </c:pt>
                <c:pt idx="5">
                  <c:v>Satara</c:v>
                </c:pt>
              </c:strCache>
            </c:strRef>
          </c:cat>
          <c:val>
            <c:numRef>
              <c:f>Sheet5!$C$5:$C$11</c:f>
              <c:numCache>
                <c:formatCode>General</c:formatCode>
                <c:ptCount val="6"/>
                <c:pt idx="0">
                  <c:v>5800000</c:v>
                </c:pt>
                <c:pt idx="1">
                  <c:v>10000000</c:v>
                </c:pt>
                <c:pt idx="3">
                  <c:v>2400000</c:v>
                </c:pt>
                <c:pt idx="4">
                  <c:v>16600000</c:v>
                </c:pt>
                <c:pt idx="5">
                  <c:v>7800000</c:v>
                </c:pt>
              </c:numCache>
            </c:numRef>
          </c:val>
          <c:extLst>
            <c:ext xmlns:c16="http://schemas.microsoft.com/office/drawing/2014/chart" uri="{C3380CC4-5D6E-409C-BE32-E72D297353CC}">
              <c16:uniqueId val="{00000001-28BC-4AE2-9759-8D72440271C6}"/>
            </c:ext>
          </c:extLst>
        </c:ser>
        <c:ser>
          <c:idx val="2"/>
          <c:order val="2"/>
          <c:tx>
            <c:strRef>
              <c:f>Sheet5!$D$3:$D$4</c:f>
              <c:strCache>
                <c:ptCount val="1"/>
                <c:pt idx="0">
                  <c:v>Personal Loan</c:v>
                </c:pt>
              </c:strCache>
            </c:strRef>
          </c:tx>
          <c:spPr>
            <a:solidFill>
              <a:schemeClr val="accent3"/>
            </a:solidFill>
            <a:ln>
              <a:noFill/>
            </a:ln>
            <a:effectLst/>
          </c:spPr>
          <c:invertIfNegative val="0"/>
          <c:cat>
            <c:strRef>
              <c:f>Sheet5!$A$5:$A$11</c:f>
              <c:strCache>
                <c:ptCount val="6"/>
                <c:pt idx="0">
                  <c:v>Kolhapur</c:v>
                </c:pt>
                <c:pt idx="1">
                  <c:v>Mumbai</c:v>
                </c:pt>
                <c:pt idx="2">
                  <c:v>Nagpur</c:v>
                </c:pt>
                <c:pt idx="3">
                  <c:v>Nashik</c:v>
                </c:pt>
                <c:pt idx="4">
                  <c:v>Pune</c:v>
                </c:pt>
                <c:pt idx="5">
                  <c:v>Satara</c:v>
                </c:pt>
              </c:strCache>
            </c:strRef>
          </c:cat>
          <c:val>
            <c:numRef>
              <c:f>Sheet5!$D$5:$D$11</c:f>
              <c:numCache>
                <c:formatCode>General</c:formatCode>
                <c:ptCount val="6"/>
                <c:pt idx="0">
                  <c:v>700000</c:v>
                </c:pt>
                <c:pt idx="1">
                  <c:v>970000</c:v>
                </c:pt>
                <c:pt idx="2">
                  <c:v>350000</c:v>
                </c:pt>
                <c:pt idx="4">
                  <c:v>1780000</c:v>
                </c:pt>
                <c:pt idx="5">
                  <c:v>1220000</c:v>
                </c:pt>
              </c:numCache>
            </c:numRef>
          </c:val>
          <c:extLst>
            <c:ext xmlns:c16="http://schemas.microsoft.com/office/drawing/2014/chart" uri="{C3380CC4-5D6E-409C-BE32-E72D297353CC}">
              <c16:uniqueId val="{00000002-28BC-4AE2-9759-8D72440271C6}"/>
            </c:ext>
          </c:extLst>
        </c:ser>
        <c:ser>
          <c:idx val="3"/>
          <c:order val="3"/>
          <c:tx>
            <c:strRef>
              <c:f>Sheet5!$E$3:$E$4</c:f>
              <c:strCache>
                <c:ptCount val="1"/>
                <c:pt idx="0">
                  <c:v>Vehicle Loan</c:v>
                </c:pt>
              </c:strCache>
            </c:strRef>
          </c:tx>
          <c:spPr>
            <a:solidFill>
              <a:schemeClr val="accent4"/>
            </a:solidFill>
            <a:ln>
              <a:noFill/>
            </a:ln>
            <a:effectLst/>
          </c:spPr>
          <c:invertIfNegative val="0"/>
          <c:cat>
            <c:strRef>
              <c:f>Sheet5!$A$5:$A$11</c:f>
              <c:strCache>
                <c:ptCount val="6"/>
                <c:pt idx="0">
                  <c:v>Kolhapur</c:v>
                </c:pt>
                <c:pt idx="1">
                  <c:v>Mumbai</c:v>
                </c:pt>
                <c:pt idx="2">
                  <c:v>Nagpur</c:v>
                </c:pt>
                <c:pt idx="3">
                  <c:v>Nashik</c:v>
                </c:pt>
                <c:pt idx="4">
                  <c:v>Pune</c:v>
                </c:pt>
                <c:pt idx="5">
                  <c:v>Satara</c:v>
                </c:pt>
              </c:strCache>
            </c:strRef>
          </c:cat>
          <c:val>
            <c:numRef>
              <c:f>Sheet5!$E$5:$E$11</c:f>
              <c:numCache>
                <c:formatCode>General</c:formatCode>
                <c:ptCount val="6"/>
                <c:pt idx="0">
                  <c:v>3350000</c:v>
                </c:pt>
                <c:pt idx="1">
                  <c:v>450000</c:v>
                </c:pt>
                <c:pt idx="2">
                  <c:v>2400000</c:v>
                </c:pt>
                <c:pt idx="3">
                  <c:v>850000</c:v>
                </c:pt>
                <c:pt idx="4">
                  <c:v>800000</c:v>
                </c:pt>
                <c:pt idx="5">
                  <c:v>600000</c:v>
                </c:pt>
              </c:numCache>
            </c:numRef>
          </c:val>
          <c:extLst>
            <c:ext xmlns:c16="http://schemas.microsoft.com/office/drawing/2014/chart" uri="{C3380CC4-5D6E-409C-BE32-E72D297353CC}">
              <c16:uniqueId val="{00000003-28BC-4AE2-9759-8D72440271C6}"/>
            </c:ext>
          </c:extLst>
        </c:ser>
        <c:dLbls>
          <c:showLegendKey val="0"/>
          <c:showVal val="0"/>
          <c:showCatName val="0"/>
          <c:showSerName val="0"/>
          <c:showPercent val="0"/>
          <c:showBubbleSize val="0"/>
        </c:dLbls>
        <c:gapWidth val="219"/>
        <c:overlap val="-27"/>
        <c:axId val="270496079"/>
        <c:axId val="270495119"/>
      </c:barChart>
      <c:catAx>
        <c:axId val="27049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495119"/>
        <c:crosses val="autoZero"/>
        <c:auto val="1"/>
        <c:lblAlgn val="ctr"/>
        <c:lblOffset val="100"/>
        <c:noMultiLvlLbl val="0"/>
      </c:catAx>
      <c:valAx>
        <c:axId val="27049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49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495300</xdr:colOff>
      <xdr:row>1</xdr:row>
      <xdr:rowOff>167641</xdr:rowOff>
    </xdr:from>
    <xdr:to>
      <xdr:col>9</xdr:col>
      <xdr:colOff>495300</xdr:colOff>
      <xdr:row>13</xdr:row>
      <xdr:rowOff>15241</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E2A68FE6-1EA1-F7F2-9CB4-9EEDA907E4E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935980" y="350521"/>
              <a:ext cx="1828800" cy="2042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83820</xdr:colOff>
      <xdr:row>1</xdr:row>
      <xdr:rowOff>160021</xdr:rowOff>
    </xdr:from>
    <xdr:to>
      <xdr:col>13</xdr:col>
      <xdr:colOff>83820</xdr:colOff>
      <xdr:row>10</xdr:row>
      <xdr:rowOff>106681</xdr:rowOff>
    </xdr:to>
    <mc:AlternateContent xmlns:mc="http://schemas.openxmlformats.org/markup-compatibility/2006" xmlns:a14="http://schemas.microsoft.com/office/drawing/2010/main">
      <mc:Choice Requires="a14">
        <xdr:graphicFrame macro="">
          <xdr:nvGraphicFramePr>
            <xdr:cNvPr id="3" name="Loan_Type">
              <a:extLst>
                <a:ext uri="{FF2B5EF4-FFF2-40B4-BE49-F238E27FC236}">
                  <a16:creationId xmlns:a16="http://schemas.microsoft.com/office/drawing/2014/main" id="{FD63D37D-25D9-EC61-766F-C0E1C34C4CD5}"/>
                </a:ext>
              </a:extLst>
            </xdr:cNvPr>
            <xdr:cNvGraphicFramePr/>
          </xdr:nvGraphicFramePr>
          <xdr:xfrm>
            <a:off x="0" y="0"/>
            <a:ext cx="0" cy="0"/>
          </xdr:xfrm>
          <a:graphic>
            <a:graphicData uri="http://schemas.microsoft.com/office/drawing/2010/slicer">
              <sle:slicer xmlns:sle="http://schemas.microsoft.com/office/drawing/2010/slicer" name="Loan_Type"/>
            </a:graphicData>
          </a:graphic>
        </xdr:graphicFrame>
      </mc:Choice>
      <mc:Fallback xmlns="">
        <xdr:sp macro="" textlink="">
          <xdr:nvSpPr>
            <xdr:cNvPr id="0" name=""/>
            <xdr:cNvSpPr>
              <a:spLocks noTextEdit="1"/>
            </xdr:cNvSpPr>
          </xdr:nvSpPr>
          <xdr:spPr>
            <a:xfrm>
              <a:off x="7962900" y="342901"/>
              <a:ext cx="182880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861060</xdr:colOff>
      <xdr:row>11</xdr:row>
      <xdr:rowOff>175260</xdr:rowOff>
    </xdr:from>
    <xdr:to>
      <xdr:col>5</xdr:col>
      <xdr:colOff>731520</xdr:colOff>
      <xdr:row>26</xdr:row>
      <xdr:rowOff>175260</xdr:rowOff>
    </xdr:to>
    <xdr:graphicFrame macro="">
      <xdr:nvGraphicFramePr>
        <xdr:cNvPr id="4" name="Chart 3">
          <a:extLst>
            <a:ext uri="{FF2B5EF4-FFF2-40B4-BE49-F238E27FC236}">
              <a16:creationId xmlns:a16="http://schemas.microsoft.com/office/drawing/2014/main" id="{78A1298F-CF60-CF6A-B1F1-8FA0945AA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ket" refreshedDate="46165.606928819441" createdVersion="8" refreshedVersion="8" minRefreshableVersion="3" recordCount="50" xr:uid="{97EA5BB9-23FE-48DC-9D20-7F41C7B047FC}">
  <cacheSource type="worksheet">
    <worksheetSource name="Table1"/>
  </cacheSource>
  <cacheFields count="7">
    <cacheField name="Cust_ID" numFmtId="0">
      <sharedItems containsSemiMixedTypes="0" containsString="0" containsNumber="1" containsInteger="1" minValue="101" maxValue="150"/>
    </cacheField>
    <cacheField name="Cust_Name" numFmtId="0">
      <sharedItems/>
    </cacheField>
    <cacheField name="City" numFmtId="0">
      <sharedItems count="6">
        <s v="Pune"/>
        <s v="Satara"/>
        <s v="Mumbai"/>
        <s v="Kolhapur"/>
        <s v="Nagpur"/>
        <s v="Nashik"/>
      </sharedItems>
    </cacheField>
    <cacheField name="Outstanding" numFmtId="0">
      <sharedItems containsSemiMixedTypes="0" containsString="0" containsNumber="1" containsInteger="1" minValue="30000" maxValue="5400000"/>
    </cacheField>
    <cacheField name="DPD" numFmtId="0">
      <sharedItems containsMixedTypes="1" containsNumber="1" containsInteger="1" minValue="0" maxValue="150"/>
    </cacheField>
    <cacheField name="Clear_Name" numFmtId="0">
      <sharedItems/>
    </cacheField>
    <cacheField name="Loan_Type" numFmtId="0">
      <sharedItems count="4">
        <s v="Home Loan"/>
        <s v="Personal Loan"/>
        <s v="Gold Loan"/>
        <s v="Vehicle Loan"/>
      </sharedItems>
    </cacheField>
  </cacheFields>
  <extLst>
    <ext xmlns:x14="http://schemas.microsoft.com/office/spreadsheetml/2009/9/main" uri="{725AE2AE-9491-48be-B2B4-4EB974FC3084}">
      <x14:pivotCacheDefinition pivotCacheId="1624251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1"/>
    <s v="sanket SHINDE "/>
    <x v="0"/>
    <n v="1800000"/>
    <n v="0"/>
    <s v="Sanket Shinde"/>
    <x v="0"/>
  </r>
  <r>
    <n v="102"/>
    <s v="rahul Patil"/>
    <x v="1"/>
    <n v="450000"/>
    <n v="120"/>
    <s v="Rahul Patil"/>
    <x v="1"/>
  </r>
  <r>
    <n v="103"/>
    <s v="amit sharma"/>
    <x v="2"/>
    <n v="150000"/>
    <n v="45"/>
    <s v="Amit Sharma"/>
    <x v="2"/>
  </r>
  <r>
    <n v="104"/>
    <s v="VIKRAM MANE "/>
    <x v="3"/>
    <n v="3500000"/>
    <n v="95"/>
    <s v="Vikram Mane"/>
    <x v="0"/>
  </r>
  <r>
    <n v="105"/>
    <s v="pooja desai "/>
    <x v="0"/>
    <n v="50000"/>
    <n v="15"/>
    <s v="Pooja Desai"/>
    <x v="1"/>
  </r>
  <r>
    <n v="106"/>
    <s v="Ajay Jagtap"/>
    <x v="1"/>
    <n v="30000"/>
    <n v="0"/>
    <s v="Ajay Jagtap"/>
    <x v="2"/>
  </r>
  <r>
    <n v="107"/>
    <s v="SNEHA KULKARNI"/>
    <x v="2"/>
    <n v="4200000"/>
    <s v="10 cursor"/>
    <s v="Sneha Kulkarni"/>
    <x v="0"/>
  </r>
  <r>
    <n v="108"/>
    <s v="Pranav Joshi "/>
    <x v="0"/>
    <n v="700000"/>
    <n v="110"/>
    <s v="Pranav Joshi"/>
    <x v="1"/>
  </r>
  <r>
    <n v="109"/>
    <s v="rohit kadam"/>
    <x v="3"/>
    <n v="900000"/>
    <n v="30"/>
    <s v="Rohit Kadam"/>
    <x v="3"/>
  </r>
  <r>
    <n v="110"/>
    <s v="Deepak Pawar "/>
    <x v="1"/>
    <n v="2700000"/>
    <n v="150"/>
    <s v="Deepak Pawar"/>
    <x v="0"/>
  </r>
  <r>
    <n v="111"/>
    <s v="Mahesh Bhosale"/>
    <x v="0"/>
    <n v="200000"/>
    <n v="0"/>
    <s v="Mahesh Bhosale"/>
    <x v="1"/>
  </r>
  <r>
    <n v="112"/>
    <s v="Anjali GAIKWAD"/>
    <x v="2"/>
    <n v="250000"/>
    <n v="60"/>
    <s v="Anjali Gaikwad"/>
    <x v="2"/>
  </r>
  <r>
    <n v="113"/>
    <s v="Sagar Naik"/>
    <x v="3"/>
    <n v="500000"/>
    <n v="0"/>
    <s v="Sagar Naik"/>
    <x v="3"/>
  </r>
  <r>
    <n v="114"/>
    <s v="Yogesh More "/>
    <x v="1"/>
    <n v="1400000"/>
    <n v="92"/>
    <s v="Yogesh More"/>
    <x v="0"/>
  </r>
  <r>
    <n v="115"/>
    <s v="Kiran Shinde"/>
    <x v="4"/>
    <n v="350000"/>
    <n v="40"/>
    <s v="Kiran Shinde"/>
    <x v="1"/>
  </r>
  <r>
    <n v="116"/>
    <s v="Nitin Patil"/>
    <x v="5"/>
    <n v="100000"/>
    <n v="0"/>
    <s v="Nitin Patil"/>
    <x v="2"/>
  </r>
  <r>
    <n v="117"/>
    <s v="Amol Deshmukh"/>
    <x v="0"/>
    <n v="3100000"/>
    <n v="105"/>
    <s v="Amol Deshmukh"/>
    <x v="0"/>
  </r>
  <r>
    <n v="118"/>
    <s v="Priyanka Joshi"/>
    <x v="2"/>
    <n v="550000"/>
    <n v="0"/>
    <s v="Priyanka Joshi"/>
    <x v="1"/>
  </r>
  <r>
    <n v="119"/>
    <s v="Rahul Jadhav"/>
    <x v="3"/>
    <n v="750000"/>
    <n v="15"/>
    <s v="Rahul Jadhav"/>
    <x v="3"/>
  </r>
  <r>
    <n v="120"/>
    <s v="Vikas Chavan"/>
    <x v="1"/>
    <n v="200000"/>
    <n v="98"/>
    <s v="Vikas Chavan"/>
    <x v="2"/>
  </r>
  <r>
    <n v="121"/>
    <s v="Manoj Tiwari"/>
    <x v="2"/>
    <n v="3900000"/>
    <n v="0"/>
    <s v="Manoj Tiwari"/>
    <x v="0"/>
  </r>
  <r>
    <n v="122"/>
    <s v="Kavita Kale"/>
    <x v="0"/>
    <n v="180000"/>
    <n v="75"/>
    <s v="Kavita Kale"/>
    <x v="1"/>
  </r>
  <r>
    <n v="123"/>
    <s v="Sandeep Raut"/>
    <x v="4"/>
    <n v="1300000"/>
    <n v="115"/>
    <s v="Sandeep Raut"/>
    <x v="3"/>
  </r>
  <r>
    <n v="124"/>
    <s v="Sachin Patil"/>
    <x v="5"/>
    <n v="2400000"/>
    <n v="0"/>
    <s v="Sachin Patil"/>
    <x v="0"/>
  </r>
  <r>
    <n v="125"/>
    <s v="Swati Mohite"/>
    <x v="3"/>
    <n v="400000"/>
    <n v="35"/>
    <s v="Swati Mohite"/>
    <x v="2"/>
  </r>
  <r>
    <n v="126"/>
    <s v="Ashwin Narvekar"/>
    <x v="2"/>
    <n v="420000"/>
    <n v="0"/>
    <s v="Ashwin Narvekar"/>
    <x v="1"/>
  </r>
  <r>
    <n v="127"/>
    <s v="Ganesh Shinde"/>
    <x v="1"/>
    <n v="600000"/>
    <n v="91"/>
    <s v="Ganesh Shinde"/>
    <x v="3"/>
  </r>
  <r>
    <n v="128"/>
    <s v="Pallavi Kadam"/>
    <x v="0"/>
    <n v="2900000"/>
    <n v="20"/>
    <s v="Pallavi Kadam"/>
    <x v="0"/>
  </r>
  <r>
    <n v="129"/>
    <s v="Tushar Sutar"/>
    <x v="3"/>
    <n v="300000"/>
    <n v="0"/>
    <s v="Tushar Sutar"/>
    <x v="1"/>
  </r>
  <r>
    <n v="130"/>
    <s v="Abhijit Sawant"/>
    <x v="2"/>
    <n v="50000"/>
    <n v="0"/>
    <s v="Abhijit Sawant"/>
    <x v="2"/>
  </r>
  <r>
    <n v="131"/>
    <s v="Rohan Rane "/>
    <x v="0"/>
    <n v="5400000"/>
    <n v="130"/>
    <s v="Rohan Rane"/>
    <x v="0"/>
  </r>
  <r>
    <n v="132"/>
    <s v="Archana Ghorpade"/>
    <x v="1"/>
    <n v="120000"/>
    <n v="45"/>
    <s v="Archana Ghorpade"/>
    <x v="1"/>
  </r>
  <r>
    <n v="133"/>
    <s v="Chetan Patil"/>
    <x v="5"/>
    <n v="850000"/>
    <n v="0"/>
    <s v="Chetan Patil"/>
    <x v="3"/>
  </r>
  <r>
    <n v="134"/>
    <s v="Dinesh Mane "/>
    <x v="3"/>
    <n v="150000"/>
    <n v="0"/>
    <s v="Dinesh Mane"/>
    <x v="2"/>
  </r>
  <r>
    <n v="135"/>
    <s v="Megha Kulkarni"/>
    <x v="2"/>
    <n v="1900000"/>
    <n v="96"/>
    <s v="Megha Kulkarni"/>
    <x v="0"/>
  </r>
  <r>
    <n v="136"/>
    <s v="Pratiksha Thorat"/>
    <x v="0"/>
    <n v="650000"/>
    <n v="102"/>
    <s v="Pratiksha Thorat"/>
    <x v="1"/>
  </r>
  <r>
    <n v="137"/>
    <s v="Siddharth Shah"/>
    <x v="4"/>
    <n v="1100000"/>
    <n v="0"/>
    <s v="Siddharth Shah"/>
    <x v="3"/>
  </r>
  <r>
    <n v="138"/>
    <s v="Harshal Gawde"/>
    <x v="2"/>
    <n v="300000"/>
    <n v="25"/>
    <s v="Harshal Gawde"/>
    <x v="2"/>
  </r>
  <r>
    <n v="139"/>
    <s v="Rupali Nikam"/>
    <x v="1"/>
    <n v="3700000"/>
    <n v="0"/>
    <s v="Rupali Nikam"/>
    <x v="0"/>
  </r>
  <r>
    <n v="140"/>
    <s v="Vishal Shinde"/>
    <x v="3"/>
    <n v="400000"/>
    <n v="118"/>
    <s v="Vishal Shinde"/>
    <x v="1"/>
  </r>
  <r>
    <n v="141"/>
    <s v="Swapnil Joshi"/>
    <x v="0"/>
    <n v="800000"/>
    <n v="0"/>
    <s v="Swapnil Joshi"/>
    <x v="3"/>
  </r>
  <r>
    <n v="142"/>
    <s v="Snehal Patil"/>
    <x v="5"/>
    <n v="120000"/>
    <n v="0"/>
    <s v="Snehal Patil"/>
    <x v="2"/>
  </r>
  <r>
    <n v="143"/>
    <s v="Vaibhav Mane"/>
    <x v="3"/>
    <n v="2300000"/>
    <n v="40"/>
    <s v="Vaibhav Mane"/>
    <x v="0"/>
  </r>
  <r>
    <n v="144"/>
    <s v="Akshay Kadam"/>
    <x v="1"/>
    <n v="500000"/>
    <n v="101"/>
    <s v="Akshay Kadam"/>
    <x v="1"/>
  </r>
  <r>
    <n v="145"/>
    <s v="Jyoti Bhosale"/>
    <x v="2"/>
    <n v="450000"/>
    <n v="0"/>
    <s v="Jyoti Bhosale"/>
    <x v="3"/>
  </r>
  <r>
    <n v="146"/>
    <s v="Pradeep Naik"/>
    <x v="4"/>
    <n v="350000"/>
    <n v="0"/>
    <s v="Pradeep Naik"/>
    <x v="2"/>
  </r>
  <r>
    <n v="147"/>
    <s v="Mayur Jadhav"/>
    <x v="0"/>
    <n v="3400000"/>
    <n v="145"/>
    <s v="Mayur Jadhav"/>
    <x v="0"/>
  </r>
  <r>
    <n v="148"/>
    <s v="Shweta Pawar"/>
    <x v="1"/>
    <n v="150000"/>
    <n v="10"/>
    <s v="Shweta Pawar"/>
    <x v="1"/>
  </r>
  <r>
    <n v="149"/>
    <s v="Santosh More"/>
    <x v="3"/>
    <n v="1200000"/>
    <n v="0"/>
    <s v="Santosh More"/>
    <x v="3"/>
  </r>
  <r>
    <n v="150"/>
    <s v="Vinayak Patil"/>
    <x v="2"/>
    <n v="80000"/>
    <n v="0"/>
    <s v="Vinayak Patil"/>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AE1183-454C-43DE-9BD4-5AFAD64FC0B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11" firstHeaderRow="1" firstDataRow="2" firstDataCol="1"/>
  <pivotFields count="7">
    <pivotField showAll="0"/>
    <pivotField showAll="0"/>
    <pivotField axis="axisRow" showAll="0">
      <items count="7">
        <item x="3"/>
        <item x="2"/>
        <item x="4"/>
        <item x="5"/>
        <item x="0"/>
        <item x="1"/>
        <item t="default"/>
      </items>
    </pivotField>
    <pivotField dataField="1" showAll="0"/>
    <pivotField showAll="0"/>
    <pivotField showAll="0"/>
    <pivotField axis="axisCol" showAll="0">
      <items count="5">
        <item x="2"/>
        <item x="0"/>
        <item x="1"/>
        <item x="3"/>
        <item t="default"/>
      </items>
    </pivotField>
  </pivotFields>
  <rowFields count="1">
    <field x="2"/>
  </rowFields>
  <rowItems count="7">
    <i>
      <x/>
    </i>
    <i>
      <x v="1"/>
    </i>
    <i>
      <x v="2"/>
    </i>
    <i>
      <x v="3"/>
    </i>
    <i>
      <x v="4"/>
    </i>
    <i>
      <x v="5"/>
    </i>
    <i t="grand">
      <x/>
    </i>
  </rowItems>
  <colFields count="1">
    <field x="6"/>
  </colFields>
  <colItems count="5">
    <i>
      <x/>
    </i>
    <i>
      <x v="1"/>
    </i>
    <i>
      <x v="2"/>
    </i>
    <i>
      <x v="3"/>
    </i>
    <i t="grand">
      <x/>
    </i>
  </colItems>
  <dataFields count="1">
    <dataField name="Sum of Outstanding" fld="3" baseField="0" baseItem="0"/>
  </dataField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42D8B55-877A-4A0F-AEAB-6369E12D368D}" sourceName="City">
  <pivotTables>
    <pivotTable tabId="5" name="PivotTable3"/>
  </pivotTables>
  <data>
    <tabular pivotCacheId="1624251621">
      <items count="6">
        <i x="3" s="1"/>
        <i x="2" s="1"/>
        <i x="4" s="1"/>
        <i x="5"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Type" xr10:uid="{541F3C53-42E4-4B3F-9140-4572F88B9217}" sourceName="Loan_Type">
  <pivotTables>
    <pivotTable tabId="5" name="PivotTable3"/>
  </pivotTables>
  <data>
    <tabular pivotCacheId="162425162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FF4AB4F-18EE-4393-8D47-4D6031641EC3}" cache="Slicer_City" caption="City" rowHeight="234950"/>
  <slicer name="Loan_Type" xr10:uid="{2F057553-3DED-4FBA-AB7B-A8059277B080}" cache="Slicer_Loan_Type" caption="Loan_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D06858-51B0-42C0-81BF-78411BD1FA81}" name="Table1" displayName="Table1" ref="A1:I51" totalsRowShown="0" headerRowDxfId="20" headerRowBorderDxfId="19" tableBorderDxfId="18" totalsRowBorderDxfId="17">
  <autoFilter ref="A1:I51" xr:uid="{09D06858-51B0-42C0-81BF-78411BD1FA81}"/>
  <tableColumns count="9">
    <tableColumn id="1" xr3:uid="{65EE47BE-BAD5-4497-9EA0-614E9E302D26}" name="Cust_ID" dataDxfId="16"/>
    <tableColumn id="2" xr3:uid="{8813FCA5-0888-4A6C-9359-42E95059F1FD}" name="Cust_Name" dataDxfId="15"/>
    <tableColumn id="3" xr3:uid="{22EABFDE-62B3-4DB6-A807-F80F12719F87}" name="City" dataDxfId="14"/>
    <tableColumn id="4" xr3:uid="{9EB92AE4-9C4E-4D01-8015-E3040B418395}" name="Outstanding" dataDxfId="13">
      <calculatedColumnFormula>VLOOKUP(A2,Loan_Accounts!$A$1:$E$51,4,0)</calculatedColumnFormula>
    </tableColumn>
    <tableColumn id="5" xr3:uid="{E28E6988-5B7B-4EA4-9319-7BCDF0646EA5}" name="DPD" dataDxfId="12">
      <calculatedColumnFormula>VLOOKUP(A2,Loan_Accounts!$A$1:$E$51,5,0)</calculatedColumnFormula>
    </tableColumn>
    <tableColumn id="6" xr3:uid="{AB89F0B8-7418-45FB-89FE-D1DEEC425110}" name="Clear_Name" dataDxfId="11">
      <calculatedColumnFormula>TRIM(PROPER(B2))</calculatedColumnFormula>
    </tableColumn>
    <tableColumn id="7" xr3:uid="{AD7A2BAA-03A9-47EE-8DD5-2C50C47BB72C}" name="Loan_Type" dataDxfId="10">
      <calculatedColumnFormula>VLOOKUP(Table1[[#This Row],[Cust_ID]],Table4[#All],2,0)</calculatedColumnFormula>
    </tableColumn>
    <tableColumn id="8" xr3:uid="{982E63EF-755A-4736-BBB6-C6CB49DCD7B6}" name="clean_cust_name" dataDxfId="9">
      <calculatedColumnFormula>PROPER(TRIM(B2))</calculatedColumnFormula>
    </tableColumn>
    <tableColumn id="9" xr3:uid="{78C49E9B-F0F3-48A0-809B-720BE1EF0FB2}" name="Loan_Status" dataDxfId="8">
      <calculatedColumnFormula>IF(E2&gt;90,"Risk","Safe")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1A8D814-C593-490D-B56B-0E6040A5FAE3}" name="Table4" displayName="Table4" ref="A1:E51" totalsRowShown="0" headerRowDxfId="7" dataDxfId="6" tableBorderDxfId="5">
  <autoFilter ref="A1:E51" xr:uid="{31A8D814-C593-490D-B56B-0E6040A5FAE3}"/>
  <tableColumns count="5">
    <tableColumn id="1" xr3:uid="{9C8539CA-6318-4759-9F9D-FF386404CCAF}" name="Cust_ID" dataDxfId="4"/>
    <tableColumn id="2" xr3:uid="{FEC6A353-120B-4D48-A836-171B7FFC4B51}" name="Loan_Type" dataDxfId="3"/>
    <tableColumn id="3" xr3:uid="{98D2087C-20F9-4FA4-A4DE-F25CAA211BBD}" name="Loan_Amount" dataDxfId="2"/>
    <tableColumn id="4" xr3:uid="{B8CD56B5-91E1-49B1-8951-532904D4F114}" name="Outstanding" dataDxfId="1"/>
    <tableColumn id="5" xr3:uid="{BA595DBD-6ECC-45ED-AB48-AA2C36F96192}" name="DPD" dataDxfId="0"/>
  </tableColumns>
  <tableStyleInfo name="TableStyleLight2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49AF4-672C-4B93-8484-05F474BA51D0}">
  <dimension ref="A3:F11"/>
  <sheetViews>
    <sheetView tabSelected="1" workbookViewId="0">
      <selection activeCell="G19" sqref="G19"/>
    </sheetView>
  </sheetViews>
  <sheetFormatPr defaultRowHeight="14.4"/>
  <cols>
    <col min="1" max="1" width="18" bestFit="1" customWidth="1"/>
    <col min="2" max="2" width="15.5546875" bestFit="1" customWidth="1"/>
    <col min="3" max="3" width="10.5546875" bestFit="1" customWidth="1"/>
    <col min="4" max="4" width="12.77734375" bestFit="1" customWidth="1"/>
    <col min="5" max="5" width="11.6640625" bestFit="1" customWidth="1"/>
    <col min="6" max="6" width="10.77734375" bestFit="1" customWidth="1"/>
  </cols>
  <sheetData>
    <row r="3" spans="1:6">
      <c r="A3" s="4" t="s">
        <v>72</v>
      </c>
      <c r="B3" s="4" t="s">
        <v>71</v>
      </c>
    </row>
    <row r="4" spans="1:6">
      <c r="A4" s="4" t="s">
        <v>69</v>
      </c>
      <c r="B4" t="s">
        <v>65</v>
      </c>
      <c r="C4" t="s">
        <v>63</v>
      </c>
      <c r="D4" t="s">
        <v>64</v>
      </c>
      <c r="E4" t="s">
        <v>67</v>
      </c>
      <c r="F4" t="s">
        <v>70</v>
      </c>
    </row>
    <row r="5" spans="1:6">
      <c r="A5" s="5" t="s">
        <v>10</v>
      </c>
      <c r="B5">
        <v>550000</v>
      </c>
      <c r="C5">
        <v>5800000</v>
      </c>
      <c r="D5">
        <v>700000</v>
      </c>
      <c r="E5">
        <v>3350000</v>
      </c>
      <c r="F5">
        <v>10400000</v>
      </c>
    </row>
    <row r="6" spans="1:6">
      <c r="A6" s="5" t="s">
        <v>8</v>
      </c>
      <c r="B6">
        <v>830000</v>
      </c>
      <c r="C6">
        <v>10000000</v>
      </c>
      <c r="D6">
        <v>970000</v>
      </c>
      <c r="E6">
        <v>450000</v>
      </c>
      <c r="F6">
        <v>12250000</v>
      </c>
    </row>
    <row r="7" spans="1:6">
      <c r="A7" s="5" t="s">
        <v>22</v>
      </c>
      <c r="B7">
        <v>350000</v>
      </c>
      <c r="D7">
        <v>350000</v>
      </c>
      <c r="E7">
        <v>2400000</v>
      </c>
      <c r="F7">
        <v>3100000</v>
      </c>
    </row>
    <row r="8" spans="1:6">
      <c r="A8" s="5" t="s">
        <v>24</v>
      </c>
      <c r="B8">
        <v>220000</v>
      </c>
      <c r="C8">
        <v>2400000</v>
      </c>
      <c r="E8">
        <v>850000</v>
      </c>
      <c r="F8">
        <v>3470000</v>
      </c>
    </row>
    <row r="9" spans="1:6">
      <c r="A9" s="5" t="s">
        <v>4</v>
      </c>
      <c r="C9">
        <v>16600000</v>
      </c>
      <c r="D9">
        <v>1780000</v>
      </c>
      <c r="E9">
        <v>800000</v>
      </c>
      <c r="F9">
        <v>19180000</v>
      </c>
    </row>
    <row r="10" spans="1:6">
      <c r="A10" s="5" t="s">
        <v>6</v>
      </c>
      <c r="B10">
        <v>230000</v>
      </c>
      <c r="C10">
        <v>7800000</v>
      </c>
      <c r="D10">
        <v>1220000</v>
      </c>
      <c r="E10">
        <v>600000</v>
      </c>
      <c r="F10">
        <v>9850000</v>
      </c>
    </row>
    <row r="11" spans="1:6">
      <c r="A11" s="5" t="s">
        <v>70</v>
      </c>
      <c r="B11">
        <v>2180000</v>
      </c>
      <c r="C11">
        <v>42600000</v>
      </c>
      <c r="D11">
        <v>5020000</v>
      </c>
      <c r="E11">
        <v>8450000</v>
      </c>
      <c r="F11">
        <v>58250000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1EE7E-8E27-4F61-8E2F-750C1D1EA604}">
  <dimension ref="A1:I51"/>
  <sheetViews>
    <sheetView workbookViewId="0">
      <selection activeCell="J1" sqref="J1"/>
    </sheetView>
  </sheetViews>
  <sheetFormatPr defaultRowHeight="14.4"/>
  <cols>
    <col min="1" max="1" width="11.77734375" customWidth="1"/>
    <col min="2" max="2" width="17.77734375" customWidth="1"/>
    <col min="3" max="3" width="10.33203125" bestFit="1" customWidth="1"/>
    <col min="4" max="4" width="16" customWidth="1"/>
    <col min="6" max="6" width="16.21875" bestFit="1" customWidth="1"/>
    <col min="7" max="7" width="13.6640625" customWidth="1"/>
    <col min="8" max="8" width="16.21875" bestFit="1" customWidth="1"/>
  </cols>
  <sheetData>
    <row r="1" spans="1:9" ht="27.6">
      <c r="A1" s="8" t="s">
        <v>0</v>
      </c>
      <c r="B1" s="9" t="s">
        <v>1</v>
      </c>
      <c r="C1" s="9" t="s">
        <v>2</v>
      </c>
      <c r="D1" s="9" t="s">
        <v>61</v>
      </c>
      <c r="E1" s="9" t="s">
        <v>62</v>
      </c>
      <c r="F1" s="10" t="s">
        <v>68</v>
      </c>
      <c r="G1" s="9" t="s">
        <v>59</v>
      </c>
      <c r="H1" s="9" t="s">
        <v>73</v>
      </c>
      <c r="I1" s="9" t="s">
        <v>74</v>
      </c>
    </row>
    <row r="2" spans="1:9">
      <c r="A2" s="6">
        <v>101</v>
      </c>
      <c r="B2" s="2" t="s">
        <v>3</v>
      </c>
      <c r="C2" s="1" t="s">
        <v>4</v>
      </c>
      <c r="D2" s="3">
        <f>VLOOKUP(A2,Loan_Accounts!$A$1:$E$51,4,0)</f>
        <v>1800000</v>
      </c>
      <c r="E2" s="3">
        <f>VLOOKUP(A2,Loan_Accounts!$A$1:$E$51,5,0)</f>
        <v>0</v>
      </c>
      <c r="F2" s="7" t="str">
        <f>TRIM(PROPER(B2))</f>
        <v>Sanket Shinde</v>
      </c>
      <c r="G2" t="str">
        <f>VLOOKUP(Table1[[#This Row],[Cust_ID]],Table4[#All],2,0)</f>
        <v>Home Loan</v>
      </c>
      <c r="H2" t="str">
        <f t="shared" ref="H2:H33" si="0">PROPER(TRIM(B2))</f>
        <v>Sanket Shinde</v>
      </c>
      <c r="I2" t="str">
        <f t="shared" ref="I2:I33" si="1">IF(E2&gt;90,"Risk","Safe")</f>
        <v>Safe</v>
      </c>
    </row>
    <row r="3" spans="1:9">
      <c r="A3" s="6">
        <v>102</v>
      </c>
      <c r="B3" s="2" t="s">
        <v>5</v>
      </c>
      <c r="C3" s="1" t="s">
        <v>6</v>
      </c>
      <c r="D3" s="3">
        <f>VLOOKUP(A3,Loan_Accounts!$A$1:$E$51,4,0)</f>
        <v>450000</v>
      </c>
      <c r="E3" s="3">
        <f>VLOOKUP(A3,Loan_Accounts!$A$1:$E$51,5,0)</f>
        <v>120</v>
      </c>
      <c r="F3" s="7" t="str">
        <f t="shared" ref="F3:F51" si="2">TRIM(PROPER(B3))</f>
        <v>Rahul Patil</v>
      </c>
      <c r="G3" t="str">
        <f>VLOOKUP(Table1[[#This Row],[Cust_ID]],Table4[#All],2,0)</f>
        <v>Personal Loan</v>
      </c>
      <c r="H3" t="str">
        <f t="shared" si="0"/>
        <v>Rahul Patil</v>
      </c>
      <c r="I3" t="str">
        <f t="shared" si="1"/>
        <v>Risk</v>
      </c>
    </row>
    <row r="4" spans="1:9">
      <c r="A4" s="6">
        <v>103</v>
      </c>
      <c r="B4" s="2" t="s">
        <v>7</v>
      </c>
      <c r="C4" s="1" t="s">
        <v>8</v>
      </c>
      <c r="D4" s="3">
        <f>VLOOKUP(A4,Loan_Accounts!$A$1:$E$51,4,0)</f>
        <v>150000</v>
      </c>
      <c r="E4" s="3">
        <f>VLOOKUP(A4,Loan_Accounts!$A$1:$E$51,5,0)</f>
        <v>45</v>
      </c>
      <c r="F4" s="7" t="str">
        <f t="shared" si="2"/>
        <v>Amit Sharma</v>
      </c>
      <c r="G4" t="str">
        <f>VLOOKUP(Table1[[#This Row],[Cust_ID]],Table4[#All],2,0)</f>
        <v>Gold Loan</v>
      </c>
      <c r="H4" t="str">
        <f t="shared" si="0"/>
        <v>Amit Sharma</v>
      </c>
      <c r="I4" t="str">
        <f t="shared" si="1"/>
        <v>Safe</v>
      </c>
    </row>
    <row r="5" spans="1:9">
      <c r="A5" s="6">
        <v>104</v>
      </c>
      <c r="B5" s="2" t="s">
        <v>9</v>
      </c>
      <c r="C5" s="1" t="s">
        <v>10</v>
      </c>
      <c r="D5" s="3">
        <f>VLOOKUP(A5,Loan_Accounts!$A$1:$E$51,4,0)</f>
        <v>3500000</v>
      </c>
      <c r="E5" s="3">
        <f>VLOOKUP(A5,Loan_Accounts!$A$1:$E$51,5,0)</f>
        <v>95</v>
      </c>
      <c r="F5" s="7" t="str">
        <f t="shared" si="2"/>
        <v>Vikram Mane</v>
      </c>
      <c r="G5" t="str">
        <f>VLOOKUP(Table1[[#This Row],[Cust_ID]],Table4[#All],2,0)</f>
        <v>Home Loan</v>
      </c>
      <c r="H5" t="str">
        <f t="shared" si="0"/>
        <v>Vikram Mane</v>
      </c>
      <c r="I5" t="str">
        <f t="shared" si="1"/>
        <v>Risk</v>
      </c>
    </row>
    <row r="6" spans="1:9">
      <c r="A6" s="6">
        <v>105</v>
      </c>
      <c r="B6" s="2" t="s">
        <v>11</v>
      </c>
      <c r="C6" s="1" t="s">
        <v>4</v>
      </c>
      <c r="D6" s="3">
        <f>VLOOKUP(A6,Loan_Accounts!$A$1:$E$51,4,0)</f>
        <v>50000</v>
      </c>
      <c r="E6" s="3">
        <f>VLOOKUP(A6,Loan_Accounts!$A$1:$E$51,5,0)</f>
        <v>15</v>
      </c>
      <c r="F6" s="7" t="str">
        <f t="shared" si="2"/>
        <v>Pooja Desai</v>
      </c>
      <c r="G6" t="str">
        <f>VLOOKUP(Table1[[#This Row],[Cust_ID]],Table4[#All],2,0)</f>
        <v>Personal Loan</v>
      </c>
      <c r="H6" t="str">
        <f t="shared" si="0"/>
        <v>Pooja Desai</v>
      </c>
      <c r="I6" t="str">
        <f t="shared" si="1"/>
        <v>Safe</v>
      </c>
    </row>
    <row r="7" spans="1:9">
      <c r="A7" s="6">
        <v>106</v>
      </c>
      <c r="B7" s="2" t="s">
        <v>12</v>
      </c>
      <c r="C7" s="1" t="s">
        <v>6</v>
      </c>
      <c r="D7" s="3">
        <f>VLOOKUP(A7,Loan_Accounts!$A$1:$E$51,4,0)</f>
        <v>30000</v>
      </c>
      <c r="E7" s="3">
        <f>VLOOKUP(A7,Loan_Accounts!$A$1:$E$51,5,0)</f>
        <v>0</v>
      </c>
      <c r="F7" s="7" t="str">
        <f t="shared" si="2"/>
        <v>Ajay Jagtap</v>
      </c>
      <c r="G7" t="str">
        <f>VLOOKUP(Table1[[#This Row],[Cust_ID]],Table4[#All],2,0)</f>
        <v>Gold Loan</v>
      </c>
      <c r="H7" t="str">
        <f t="shared" si="0"/>
        <v>Ajay Jagtap</v>
      </c>
      <c r="I7" t="str">
        <f t="shared" si="1"/>
        <v>Safe</v>
      </c>
    </row>
    <row r="8" spans="1:9">
      <c r="A8" s="6">
        <v>107</v>
      </c>
      <c r="B8" s="2" t="s">
        <v>13</v>
      </c>
      <c r="C8" s="1" t="s">
        <v>8</v>
      </c>
      <c r="D8" s="3">
        <f>VLOOKUP(A8,Loan_Accounts!$A$1:$E$51,4,0)</f>
        <v>4200000</v>
      </c>
      <c r="E8" s="3" t="str">
        <f>VLOOKUP(A8,Loan_Accounts!$A$1:$E$51,5,0)</f>
        <v>10 cursor</v>
      </c>
      <c r="F8" s="7" t="str">
        <f t="shared" si="2"/>
        <v>Sneha Kulkarni</v>
      </c>
      <c r="G8" t="str">
        <f>VLOOKUP(Table1[[#This Row],[Cust_ID]],Table4[#All],2,0)</f>
        <v>Home Loan</v>
      </c>
      <c r="H8" t="str">
        <f t="shared" si="0"/>
        <v>Sneha Kulkarni</v>
      </c>
      <c r="I8" t="str">
        <f t="shared" si="1"/>
        <v>Risk</v>
      </c>
    </row>
    <row r="9" spans="1:9">
      <c r="A9" s="6">
        <v>108</v>
      </c>
      <c r="B9" s="2" t="s">
        <v>14</v>
      </c>
      <c r="C9" s="1" t="s">
        <v>4</v>
      </c>
      <c r="D9" s="3">
        <f>VLOOKUP(A9,Loan_Accounts!$A$1:$E$51,4,0)</f>
        <v>700000</v>
      </c>
      <c r="E9" s="3">
        <f>VLOOKUP(A9,Loan_Accounts!$A$1:$E$51,5,0)</f>
        <v>110</v>
      </c>
      <c r="F9" s="7" t="str">
        <f t="shared" si="2"/>
        <v>Pranav Joshi</v>
      </c>
      <c r="G9" t="str">
        <f>VLOOKUP(Table1[[#This Row],[Cust_ID]],Table4[#All],2,0)</f>
        <v>Personal Loan</v>
      </c>
      <c r="H9" t="str">
        <f t="shared" si="0"/>
        <v>Pranav Joshi</v>
      </c>
      <c r="I9" t="str">
        <f t="shared" si="1"/>
        <v>Risk</v>
      </c>
    </row>
    <row r="10" spans="1:9">
      <c r="A10" s="6">
        <v>109</v>
      </c>
      <c r="B10" s="2" t="s">
        <v>15</v>
      </c>
      <c r="C10" s="1" t="s">
        <v>10</v>
      </c>
      <c r="D10" s="3">
        <f>VLOOKUP(A10,Loan_Accounts!$A$1:$E$51,4,0)</f>
        <v>900000</v>
      </c>
      <c r="E10" s="3">
        <f>VLOOKUP(A10,Loan_Accounts!$A$1:$E$51,5,0)</f>
        <v>30</v>
      </c>
      <c r="F10" s="7" t="str">
        <f t="shared" si="2"/>
        <v>Rohit Kadam</v>
      </c>
      <c r="G10" t="str">
        <f>VLOOKUP(Table1[[#This Row],[Cust_ID]],Table4[#All],2,0)</f>
        <v>Vehicle Loan</v>
      </c>
      <c r="H10" t="str">
        <f t="shared" si="0"/>
        <v>Rohit Kadam</v>
      </c>
      <c r="I10" t="str">
        <f t="shared" si="1"/>
        <v>Safe</v>
      </c>
    </row>
    <row r="11" spans="1:9">
      <c r="A11" s="6">
        <v>110</v>
      </c>
      <c r="B11" s="2" t="s">
        <v>16</v>
      </c>
      <c r="C11" s="1" t="s">
        <v>6</v>
      </c>
      <c r="D11" s="3">
        <f>VLOOKUP(A11,Loan_Accounts!$A$1:$E$51,4,0)</f>
        <v>2700000</v>
      </c>
      <c r="E11" s="3">
        <f>VLOOKUP(A11,Loan_Accounts!$A$1:$E$51,5,0)</f>
        <v>150</v>
      </c>
      <c r="F11" s="7" t="str">
        <f t="shared" si="2"/>
        <v>Deepak Pawar</v>
      </c>
      <c r="G11" t="str">
        <f>VLOOKUP(Table1[[#This Row],[Cust_ID]],Table4[#All],2,0)</f>
        <v>Home Loan</v>
      </c>
      <c r="H11" t="str">
        <f t="shared" si="0"/>
        <v>Deepak Pawar</v>
      </c>
      <c r="I11" t="str">
        <f t="shared" si="1"/>
        <v>Risk</v>
      </c>
    </row>
    <row r="12" spans="1:9">
      <c r="A12" s="6">
        <v>111</v>
      </c>
      <c r="B12" s="2" t="s">
        <v>17</v>
      </c>
      <c r="C12" s="1" t="s">
        <v>4</v>
      </c>
      <c r="D12" s="3">
        <f>VLOOKUP(A12,Loan_Accounts!$A$1:$E$51,4,0)</f>
        <v>200000</v>
      </c>
      <c r="E12" s="3">
        <f>VLOOKUP(A12,Loan_Accounts!$A$1:$E$51,5,0)</f>
        <v>0</v>
      </c>
      <c r="F12" s="7" t="str">
        <f t="shared" si="2"/>
        <v>Mahesh Bhosale</v>
      </c>
      <c r="G12" t="str">
        <f>VLOOKUP(Table1[[#This Row],[Cust_ID]],Table4[#All],2,0)</f>
        <v>Personal Loan</v>
      </c>
      <c r="H12" t="str">
        <f t="shared" si="0"/>
        <v>Mahesh Bhosale</v>
      </c>
      <c r="I12" t="str">
        <f t="shared" si="1"/>
        <v>Safe</v>
      </c>
    </row>
    <row r="13" spans="1:9">
      <c r="A13" s="6">
        <v>112</v>
      </c>
      <c r="B13" s="2" t="s">
        <v>18</v>
      </c>
      <c r="C13" s="1" t="s">
        <v>8</v>
      </c>
      <c r="D13" s="3">
        <f>VLOOKUP(A13,Loan_Accounts!$A$1:$E$51,4,0)</f>
        <v>250000</v>
      </c>
      <c r="E13" s="3">
        <f>VLOOKUP(A13,Loan_Accounts!$A$1:$E$51,5,0)</f>
        <v>60</v>
      </c>
      <c r="F13" s="7" t="str">
        <f t="shared" si="2"/>
        <v>Anjali Gaikwad</v>
      </c>
      <c r="G13" t="str">
        <f>VLOOKUP(Table1[[#This Row],[Cust_ID]],Table4[#All],2,0)</f>
        <v>Gold Loan</v>
      </c>
      <c r="H13" t="str">
        <f t="shared" si="0"/>
        <v>Anjali Gaikwad</v>
      </c>
      <c r="I13" t="str">
        <f t="shared" si="1"/>
        <v>Safe</v>
      </c>
    </row>
    <row r="14" spans="1:9">
      <c r="A14" s="6">
        <v>113</v>
      </c>
      <c r="B14" s="2" t="s">
        <v>19</v>
      </c>
      <c r="C14" s="1" t="s">
        <v>10</v>
      </c>
      <c r="D14" s="3">
        <f>VLOOKUP(A14,Loan_Accounts!$A$1:$E$51,4,0)</f>
        <v>500000</v>
      </c>
      <c r="E14" s="3">
        <f>VLOOKUP(A14,Loan_Accounts!$A$1:$E$51,5,0)</f>
        <v>0</v>
      </c>
      <c r="F14" s="7" t="str">
        <f t="shared" si="2"/>
        <v>Sagar Naik</v>
      </c>
      <c r="G14" t="str">
        <f>VLOOKUP(Table1[[#This Row],[Cust_ID]],Table4[#All],2,0)</f>
        <v>Vehicle Loan</v>
      </c>
      <c r="H14" t="str">
        <f t="shared" si="0"/>
        <v>Sagar Naik</v>
      </c>
      <c r="I14" t="str">
        <f t="shared" si="1"/>
        <v>Safe</v>
      </c>
    </row>
    <row r="15" spans="1:9">
      <c r="A15" s="6">
        <v>114</v>
      </c>
      <c r="B15" s="2" t="s">
        <v>20</v>
      </c>
      <c r="C15" s="1" t="s">
        <v>6</v>
      </c>
      <c r="D15" s="3">
        <f>VLOOKUP(A15,Loan_Accounts!$A$1:$E$51,4,0)</f>
        <v>1400000</v>
      </c>
      <c r="E15" s="3">
        <f>VLOOKUP(A15,Loan_Accounts!$A$1:$E$51,5,0)</f>
        <v>92</v>
      </c>
      <c r="F15" s="7" t="str">
        <f t="shared" si="2"/>
        <v>Yogesh More</v>
      </c>
      <c r="G15" t="str">
        <f>VLOOKUP(Table1[[#This Row],[Cust_ID]],Table4[#All],2,0)</f>
        <v>Home Loan</v>
      </c>
      <c r="H15" t="str">
        <f t="shared" si="0"/>
        <v>Yogesh More</v>
      </c>
      <c r="I15" t="str">
        <f t="shared" si="1"/>
        <v>Risk</v>
      </c>
    </row>
    <row r="16" spans="1:9">
      <c r="A16" s="6">
        <v>115</v>
      </c>
      <c r="B16" s="2" t="s">
        <v>21</v>
      </c>
      <c r="C16" s="1" t="s">
        <v>22</v>
      </c>
      <c r="D16" s="3">
        <f>VLOOKUP(A16,Loan_Accounts!$A$1:$E$51,4,0)</f>
        <v>350000</v>
      </c>
      <c r="E16" s="3">
        <f>VLOOKUP(A16,Loan_Accounts!$A$1:$E$51,5,0)</f>
        <v>40</v>
      </c>
      <c r="F16" s="7" t="str">
        <f t="shared" si="2"/>
        <v>Kiran Shinde</v>
      </c>
      <c r="G16" t="str">
        <f>VLOOKUP(Table1[[#This Row],[Cust_ID]],Table4[#All],2,0)</f>
        <v>Personal Loan</v>
      </c>
      <c r="H16" t="str">
        <f t="shared" si="0"/>
        <v>Kiran Shinde</v>
      </c>
      <c r="I16" t="str">
        <f t="shared" si="1"/>
        <v>Safe</v>
      </c>
    </row>
    <row r="17" spans="1:9">
      <c r="A17" s="6">
        <v>116</v>
      </c>
      <c r="B17" s="2" t="s">
        <v>23</v>
      </c>
      <c r="C17" s="1" t="s">
        <v>24</v>
      </c>
      <c r="D17" s="3">
        <f>VLOOKUP(A17,Loan_Accounts!$A$1:$E$51,4,0)</f>
        <v>100000</v>
      </c>
      <c r="E17" s="3">
        <f>VLOOKUP(A17,Loan_Accounts!$A$1:$E$51,5,0)</f>
        <v>0</v>
      </c>
      <c r="F17" s="7" t="str">
        <f t="shared" si="2"/>
        <v>Nitin Patil</v>
      </c>
      <c r="G17" t="str">
        <f>VLOOKUP(Table1[[#This Row],[Cust_ID]],Table4[#All],2,0)</f>
        <v>Gold Loan</v>
      </c>
      <c r="H17" t="str">
        <f t="shared" si="0"/>
        <v>Nitin Patil</v>
      </c>
      <c r="I17" t="str">
        <f t="shared" si="1"/>
        <v>Safe</v>
      </c>
    </row>
    <row r="18" spans="1:9">
      <c r="A18" s="6">
        <v>117</v>
      </c>
      <c r="B18" s="2" t="s">
        <v>25</v>
      </c>
      <c r="C18" s="1" t="s">
        <v>4</v>
      </c>
      <c r="D18" s="3">
        <f>VLOOKUP(A18,Loan_Accounts!$A$1:$E$51,4,0)</f>
        <v>3100000</v>
      </c>
      <c r="E18" s="3">
        <f>VLOOKUP(A18,Loan_Accounts!$A$1:$E$51,5,0)</f>
        <v>105</v>
      </c>
      <c r="F18" s="7" t="str">
        <f t="shared" si="2"/>
        <v>Amol Deshmukh</v>
      </c>
      <c r="G18" t="str">
        <f>VLOOKUP(Table1[[#This Row],[Cust_ID]],Table4[#All],2,0)</f>
        <v>Home Loan</v>
      </c>
      <c r="H18" t="str">
        <f t="shared" si="0"/>
        <v>Amol Deshmukh</v>
      </c>
      <c r="I18" t="str">
        <f t="shared" si="1"/>
        <v>Risk</v>
      </c>
    </row>
    <row r="19" spans="1:9">
      <c r="A19" s="6">
        <v>118</v>
      </c>
      <c r="B19" s="2" t="s">
        <v>26</v>
      </c>
      <c r="C19" s="1" t="s">
        <v>8</v>
      </c>
      <c r="D19" s="3">
        <f>VLOOKUP(A19,Loan_Accounts!$A$1:$E$51,4,0)</f>
        <v>550000</v>
      </c>
      <c r="E19" s="3">
        <f>VLOOKUP(A19,Loan_Accounts!$A$1:$E$51,5,0)</f>
        <v>0</v>
      </c>
      <c r="F19" s="7" t="str">
        <f t="shared" si="2"/>
        <v>Priyanka Joshi</v>
      </c>
      <c r="G19" t="str">
        <f>VLOOKUP(Table1[[#This Row],[Cust_ID]],Table4[#All],2,0)</f>
        <v>Personal Loan</v>
      </c>
      <c r="H19" t="str">
        <f t="shared" si="0"/>
        <v>Priyanka Joshi</v>
      </c>
      <c r="I19" t="str">
        <f t="shared" si="1"/>
        <v>Safe</v>
      </c>
    </row>
    <row r="20" spans="1:9">
      <c r="A20" s="6">
        <v>119</v>
      </c>
      <c r="B20" s="2" t="s">
        <v>27</v>
      </c>
      <c r="C20" s="1" t="s">
        <v>10</v>
      </c>
      <c r="D20" s="3">
        <f>VLOOKUP(A20,Loan_Accounts!$A$1:$E$51,4,0)</f>
        <v>750000</v>
      </c>
      <c r="E20" s="3">
        <f>VLOOKUP(A20,Loan_Accounts!$A$1:$E$51,5,0)</f>
        <v>15</v>
      </c>
      <c r="F20" s="7" t="str">
        <f t="shared" si="2"/>
        <v>Rahul Jadhav</v>
      </c>
      <c r="G20" t="str">
        <f>VLOOKUP(Table1[[#This Row],[Cust_ID]],Table4[#All],2,0)</f>
        <v>Vehicle Loan</v>
      </c>
      <c r="H20" t="str">
        <f t="shared" si="0"/>
        <v>Rahul Jadhav</v>
      </c>
      <c r="I20" t="str">
        <f t="shared" si="1"/>
        <v>Safe</v>
      </c>
    </row>
    <row r="21" spans="1:9">
      <c r="A21" s="6">
        <v>120</v>
      </c>
      <c r="B21" s="2" t="s">
        <v>28</v>
      </c>
      <c r="C21" s="1" t="s">
        <v>6</v>
      </c>
      <c r="D21" s="3">
        <f>VLOOKUP(A21,Loan_Accounts!$A$1:$E$51,4,0)</f>
        <v>200000</v>
      </c>
      <c r="E21" s="3">
        <f>VLOOKUP(A21,Loan_Accounts!$A$1:$E$51,5,0)</f>
        <v>98</v>
      </c>
      <c r="F21" s="7" t="str">
        <f t="shared" si="2"/>
        <v>Vikas Chavan</v>
      </c>
      <c r="G21" t="str">
        <f>VLOOKUP(Table1[[#This Row],[Cust_ID]],Table4[#All],2,0)</f>
        <v>Gold Loan</v>
      </c>
      <c r="H21" t="str">
        <f t="shared" si="0"/>
        <v>Vikas Chavan</v>
      </c>
      <c r="I21" t="str">
        <f t="shared" si="1"/>
        <v>Risk</v>
      </c>
    </row>
    <row r="22" spans="1:9">
      <c r="A22" s="6">
        <v>121</v>
      </c>
      <c r="B22" s="2" t="s">
        <v>29</v>
      </c>
      <c r="C22" s="1" t="s">
        <v>8</v>
      </c>
      <c r="D22" s="3">
        <f>VLOOKUP(A22,Loan_Accounts!$A$1:$E$51,4,0)</f>
        <v>3900000</v>
      </c>
      <c r="E22" s="3">
        <f>VLOOKUP(A22,Loan_Accounts!$A$1:$E$51,5,0)</f>
        <v>0</v>
      </c>
      <c r="F22" s="7" t="str">
        <f t="shared" si="2"/>
        <v>Manoj Tiwari</v>
      </c>
      <c r="G22" t="str">
        <f>VLOOKUP(Table1[[#This Row],[Cust_ID]],Table4[#All],2,0)</f>
        <v>Home Loan</v>
      </c>
      <c r="H22" t="str">
        <f t="shared" si="0"/>
        <v>Manoj Tiwari</v>
      </c>
      <c r="I22" t="str">
        <f t="shared" si="1"/>
        <v>Safe</v>
      </c>
    </row>
    <row r="23" spans="1:9">
      <c r="A23" s="6">
        <v>122</v>
      </c>
      <c r="B23" s="2" t="s">
        <v>30</v>
      </c>
      <c r="C23" s="1" t="s">
        <v>4</v>
      </c>
      <c r="D23" s="3">
        <f>VLOOKUP(A23,Loan_Accounts!$A$1:$E$51,4,0)</f>
        <v>180000</v>
      </c>
      <c r="E23" s="3">
        <f>VLOOKUP(A23,Loan_Accounts!$A$1:$E$51,5,0)</f>
        <v>75</v>
      </c>
      <c r="F23" s="7" t="str">
        <f t="shared" si="2"/>
        <v>Kavita Kale</v>
      </c>
      <c r="G23" t="str">
        <f>VLOOKUP(Table1[[#This Row],[Cust_ID]],Table4[#All],2,0)</f>
        <v>Personal Loan</v>
      </c>
      <c r="H23" t="str">
        <f t="shared" si="0"/>
        <v>Kavita Kale</v>
      </c>
      <c r="I23" t="str">
        <f t="shared" si="1"/>
        <v>Safe</v>
      </c>
    </row>
    <row r="24" spans="1:9">
      <c r="A24" s="6">
        <v>123</v>
      </c>
      <c r="B24" s="2" t="s">
        <v>31</v>
      </c>
      <c r="C24" s="1" t="s">
        <v>22</v>
      </c>
      <c r="D24" s="3">
        <f>VLOOKUP(A24,Loan_Accounts!$A$1:$E$51,4,0)</f>
        <v>1300000</v>
      </c>
      <c r="E24" s="3">
        <f>VLOOKUP(A24,Loan_Accounts!$A$1:$E$51,5,0)</f>
        <v>115</v>
      </c>
      <c r="F24" s="7" t="str">
        <f t="shared" si="2"/>
        <v>Sandeep Raut</v>
      </c>
      <c r="G24" t="str">
        <f>VLOOKUP(Table1[[#This Row],[Cust_ID]],Table4[#All],2,0)</f>
        <v>Vehicle Loan</v>
      </c>
      <c r="H24" t="str">
        <f t="shared" si="0"/>
        <v>Sandeep Raut</v>
      </c>
      <c r="I24" t="str">
        <f t="shared" si="1"/>
        <v>Risk</v>
      </c>
    </row>
    <row r="25" spans="1:9">
      <c r="A25" s="6">
        <v>124</v>
      </c>
      <c r="B25" s="2" t="s">
        <v>32</v>
      </c>
      <c r="C25" s="1" t="s">
        <v>24</v>
      </c>
      <c r="D25" s="3">
        <f>VLOOKUP(A25,Loan_Accounts!$A$1:$E$51,4,0)</f>
        <v>2400000</v>
      </c>
      <c r="E25" s="3">
        <f>VLOOKUP(A25,Loan_Accounts!$A$1:$E$51,5,0)</f>
        <v>0</v>
      </c>
      <c r="F25" s="7" t="str">
        <f t="shared" si="2"/>
        <v>Sachin Patil</v>
      </c>
      <c r="G25" t="str">
        <f>VLOOKUP(Table1[[#This Row],[Cust_ID]],Table4[#All],2,0)</f>
        <v>Home Loan</v>
      </c>
      <c r="H25" t="str">
        <f t="shared" si="0"/>
        <v>Sachin Patil</v>
      </c>
      <c r="I25" t="str">
        <f t="shared" si="1"/>
        <v>Safe</v>
      </c>
    </row>
    <row r="26" spans="1:9">
      <c r="A26" s="6">
        <v>125</v>
      </c>
      <c r="B26" s="2" t="s">
        <v>33</v>
      </c>
      <c r="C26" s="1" t="s">
        <v>10</v>
      </c>
      <c r="D26" s="3">
        <f>VLOOKUP(A26,Loan_Accounts!$A$1:$E$51,4,0)</f>
        <v>400000</v>
      </c>
      <c r="E26" s="3">
        <f>VLOOKUP(A26,Loan_Accounts!$A$1:$E$51,5,0)</f>
        <v>35</v>
      </c>
      <c r="F26" s="7" t="str">
        <f t="shared" si="2"/>
        <v>Swati Mohite</v>
      </c>
      <c r="G26" t="str">
        <f>VLOOKUP(Table1[[#This Row],[Cust_ID]],Table4[#All],2,0)</f>
        <v>Gold Loan</v>
      </c>
      <c r="H26" t="str">
        <f t="shared" si="0"/>
        <v>Swati Mohite</v>
      </c>
      <c r="I26" t="str">
        <f t="shared" si="1"/>
        <v>Safe</v>
      </c>
    </row>
    <row r="27" spans="1:9">
      <c r="A27" s="6">
        <v>126</v>
      </c>
      <c r="B27" s="2" t="s">
        <v>34</v>
      </c>
      <c r="C27" s="1" t="s">
        <v>8</v>
      </c>
      <c r="D27" s="3">
        <f>VLOOKUP(A27,Loan_Accounts!$A$1:$E$51,4,0)</f>
        <v>420000</v>
      </c>
      <c r="E27" s="3">
        <f>VLOOKUP(A27,Loan_Accounts!$A$1:$E$51,5,0)</f>
        <v>0</v>
      </c>
      <c r="F27" s="7" t="str">
        <f t="shared" si="2"/>
        <v>Ashwin Narvekar</v>
      </c>
      <c r="G27" t="str">
        <f>VLOOKUP(Table1[[#This Row],[Cust_ID]],Table4[#All],2,0)</f>
        <v>Personal Loan</v>
      </c>
      <c r="H27" t="str">
        <f t="shared" si="0"/>
        <v>Ashwin Narvekar</v>
      </c>
      <c r="I27" t="str">
        <f t="shared" si="1"/>
        <v>Safe</v>
      </c>
    </row>
    <row r="28" spans="1:9">
      <c r="A28" s="6">
        <v>127</v>
      </c>
      <c r="B28" s="2" t="s">
        <v>35</v>
      </c>
      <c r="C28" s="1" t="s">
        <v>6</v>
      </c>
      <c r="D28" s="3">
        <f>VLOOKUP(A28,Loan_Accounts!$A$1:$E$51,4,0)</f>
        <v>600000</v>
      </c>
      <c r="E28" s="3">
        <f>VLOOKUP(A28,Loan_Accounts!$A$1:$E$51,5,0)</f>
        <v>91</v>
      </c>
      <c r="F28" s="7" t="str">
        <f t="shared" si="2"/>
        <v>Ganesh Shinde</v>
      </c>
      <c r="G28" t="str">
        <f>VLOOKUP(Table1[[#This Row],[Cust_ID]],Table4[#All],2,0)</f>
        <v>Vehicle Loan</v>
      </c>
      <c r="H28" t="str">
        <f t="shared" si="0"/>
        <v>Ganesh Shinde</v>
      </c>
      <c r="I28" t="str">
        <f t="shared" si="1"/>
        <v>Risk</v>
      </c>
    </row>
    <row r="29" spans="1:9">
      <c r="A29" s="6">
        <v>128</v>
      </c>
      <c r="B29" s="2" t="s">
        <v>36</v>
      </c>
      <c r="C29" s="1" t="s">
        <v>4</v>
      </c>
      <c r="D29" s="3">
        <f>VLOOKUP(A29,Loan_Accounts!$A$1:$E$51,4,0)</f>
        <v>2900000</v>
      </c>
      <c r="E29" s="3">
        <f>VLOOKUP(A29,Loan_Accounts!$A$1:$E$51,5,0)</f>
        <v>20</v>
      </c>
      <c r="F29" s="7" t="str">
        <f t="shared" si="2"/>
        <v>Pallavi Kadam</v>
      </c>
      <c r="G29" t="str">
        <f>VLOOKUP(Table1[[#This Row],[Cust_ID]],Table4[#All],2,0)</f>
        <v>Home Loan</v>
      </c>
      <c r="H29" t="str">
        <f t="shared" si="0"/>
        <v>Pallavi Kadam</v>
      </c>
      <c r="I29" t="str">
        <f t="shared" si="1"/>
        <v>Safe</v>
      </c>
    </row>
    <row r="30" spans="1:9">
      <c r="A30" s="6">
        <v>129</v>
      </c>
      <c r="B30" s="2" t="s">
        <v>37</v>
      </c>
      <c r="C30" s="1" t="s">
        <v>10</v>
      </c>
      <c r="D30" s="3">
        <f>VLOOKUP(A30,Loan_Accounts!$A$1:$E$51,4,0)</f>
        <v>300000</v>
      </c>
      <c r="E30" s="3">
        <f>VLOOKUP(A30,Loan_Accounts!$A$1:$E$51,5,0)</f>
        <v>0</v>
      </c>
      <c r="F30" s="7" t="str">
        <f t="shared" si="2"/>
        <v>Tushar Sutar</v>
      </c>
      <c r="G30" t="str">
        <f>VLOOKUP(Table1[[#This Row],[Cust_ID]],Table4[#All],2,0)</f>
        <v>Personal Loan</v>
      </c>
      <c r="H30" t="str">
        <f t="shared" si="0"/>
        <v>Tushar Sutar</v>
      </c>
      <c r="I30" t="str">
        <f t="shared" si="1"/>
        <v>Safe</v>
      </c>
    </row>
    <row r="31" spans="1:9">
      <c r="A31" s="6">
        <v>130</v>
      </c>
      <c r="B31" s="2" t="s">
        <v>38</v>
      </c>
      <c r="C31" s="1" t="s">
        <v>8</v>
      </c>
      <c r="D31" s="3">
        <f>VLOOKUP(A31,Loan_Accounts!$A$1:$E$51,4,0)</f>
        <v>50000</v>
      </c>
      <c r="E31" s="3">
        <f>VLOOKUP(A31,Loan_Accounts!$A$1:$E$51,5,0)</f>
        <v>0</v>
      </c>
      <c r="F31" s="7" t="str">
        <f t="shared" si="2"/>
        <v>Abhijit Sawant</v>
      </c>
      <c r="G31" t="str">
        <f>VLOOKUP(Table1[[#This Row],[Cust_ID]],Table4[#All],2,0)</f>
        <v>Gold Loan</v>
      </c>
      <c r="H31" t="str">
        <f t="shared" si="0"/>
        <v>Abhijit Sawant</v>
      </c>
      <c r="I31" t="str">
        <f t="shared" si="1"/>
        <v>Safe</v>
      </c>
    </row>
    <row r="32" spans="1:9">
      <c r="A32" s="6">
        <v>131</v>
      </c>
      <c r="B32" s="2" t="s">
        <v>39</v>
      </c>
      <c r="C32" s="1" t="s">
        <v>4</v>
      </c>
      <c r="D32" s="3">
        <f>VLOOKUP(A32,Loan_Accounts!$A$1:$E$51,4,0)</f>
        <v>5400000</v>
      </c>
      <c r="E32" s="3">
        <f>VLOOKUP(A32,Loan_Accounts!$A$1:$E$51,5,0)</f>
        <v>130</v>
      </c>
      <c r="F32" s="7" t="str">
        <f t="shared" si="2"/>
        <v>Rohan Rane</v>
      </c>
      <c r="G32" t="str">
        <f>VLOOKUP(Table1[[#This Row],[Cust_ID]],Table4[#All],2,0)</f>
        <v>Home Loan</v>
      </c>
      <c r="H32" t="str">
        <f t="shared" si="0"/>
        <v>Rohan Rane</v>
      </c>
      <c r="I32" t="str">
        <f t="shared" si="1"/>
        <v>Risk</v>
      </c>
    </row>
    <row r="33" spans="1:9">
      <c r="A33" s="6">
        <v>132</v>
      </c>
      <c r="B33" s="2" t="s">
        <v>40</v>
      </c>
      <c r="C33" s="1" t="s">
        <v>6</v>
      </c>
      <c r="D33" s="3">
        <f>VLOOKUP(A33,Loan_Accounts!$A$1:$E$51,4,0)</f>
        <v>120000</v>
      </c>
      <c r="E33" s="3">
        <f>VLOOKUP(A33,Loan_Accounts!$A$1:$E$51,5,0)</f>
        <v>45</v>
      </c>
      <c r="F33" s="7" t="str">
        <f t="shared" si="2"/>
        <v>Archana Ghorpade</v>
      </c>
      <c r="G33" t="str">
        <f>VLOOKUP(Table1[[#This Row],[Cust_ID]],Table4[#All],2,0)</f>
        <v>Personal Loan</v>
      </c>
      <c r="H33" t="str">
        <f t="shared" si="0"/>
        <v>Archana Ghorpade</v>
      </c>
      <c r="I33" t="str">
        <f t="shared" si="1"/>
        <v>Safe</v>
      </c>
    </row>
    <row r="34" spans="1:9">
      <c r="A34" s="6">
        <v>133</v>
      </c>
      <c r="B34" s="2" t="s">
        <v>41</v>
      </c>
      <c r="C34" s="1" t="s">
        <v>24</v>
      </c>
      <c r="D34" s="3">
        <f>VLOOKUP(A34,Loan_Accounts!$A$1:$E$51,4,0)</f>
        <v>850000</v>
      </c>
      <c r="E34" s="3">
        <f>VLOOKUP(A34,Loan_Accounts!$A$1:$E$51,5,0)</f>
        <v>0</v>
      </c>
      <c r="F34" s="7" t="str">
        <f t="shared" si="2"/>
        <v>Chetan Patil</v>
      </c>
      <c r="G34" t="str">
        <f>VLOOKUP(Table1[[#This Row],[Cust_ID]],Table4[#All],2,0)</f>
        <v>Vehicle Loan</v>
      </c>
      <c r="H34" t="str">
        <f t="shared" ref="H34:H51" si="3">PROPER(TRIM(B34))</f>
        <v>Chetan Patil</v>
      </c>
      <c r="I34" t="str">
        <f t="shared" ref="I34:I51" si="4">IF(E34&gt;90,"Risk","Safe")</f>
        <v>Safe</v>
      </c>
    </row>
    <row r="35" spans="1:9">
      <c r="A35" s="6">
        <v>134</v>
      </c>
      <c r="B35" s="2" t="s">
        <v>42</v>
      </c>
      <c r="C35" s="1" t="s">
        <v>10</v>
      </c>
      <c r="D35" s="3">
        <f>VLOOKUP(A35,Loan_Accounts!$A$1:$E$51,4,0)</f>
        <v>150000</v>
      </c>
      <c r="E35" s="3">
        <f>VLOOKUP(A35,Loan_Accounts!$A$1:$E$51,5,0)</f>
        <v>0</v>
      </c>
      <c r="F35" s="7" t="str">
        <f t="shared" si="2"/>
        <v>Dinesh Mane</v>
      </c>
      <c r="G35" t="str">
        <f>VLOOKUP(Table1[[#This Row],[Cust_ID]],Table4[#All],2,0)</f>
        <v>Gold Loan</v>
      </c>
      <c r="H35" t="str">
        <f t="shared" si="3"/>
        <v>Dinesh Mane</v>
      </c>
      <c r="I35" t="str">
        <f t="shared" si="4"/>
        <v>Safe</v>
      </c>
    </row>
    <row r="36" spans="1:9">
      <c r="A36" s="6">
        <v>135</v>
      </c>
      <c r="B36" s="2" t="s">
        <v>43</v>
      </c>
      <c r="C36" s="1" t="s">
        <v>8</v>
      </c>
      <c r="D36" s="3">
        <f>VLOOKUP(A36,Loan_Accounts!$A$1:$E$51,4,0)</f>
        <v>1900000</v>
      </c>
      <c r="E36" s="3">
        <f>VLOOKUP(A36,Loan_Accounts!$A$1:$E$51,5,0)</f>
        <v>96</v>
      </c>
      <c r="F36" s="7" t="str">
        <f t="shared" si="2"/>
        <v>Megha Kulkarni</v>
      </c>
      <c r="G36" t="str">
        <f>VLOOKUP(Table1[[#This Row],[Cust_ID]],Table4[#All],2,0)</f>
        <v>Home Loan</v>
      </c>
      <c r="H36" t="str">
        <f t="shared" si="3"/>
        <v>Megha Kulkarni</v>
      </c>
      <c r="I36" t="str">
        <f t="shared" si="4"/>
        <v>Risk</v>
      </c>
    </row>
    <row r="37" spans="1:9">
      <c r="A37" s="6">
        <v>136</v>
      </c>
      <c r="B37" s="2" t="s">
        <v>44</v>
      </c>
      <c r="C37" s="1" t="s">
        <v>4</v>
      </c>
      <c r="D37" s="3">
        <f>VLOOKUP(A37,Loan_Accounts!$A$1:$E$51,4,0)</f>
        <v>650000</v>
      </c>
      <c r="E37" s="3">
        <f>VLOOKUP(A37,Loan_Accounts!$A$1:$E$51,5,0)</f>
        <v>102</v>
      </c>
      <c r="F37" s="7" t="str">
        <f t="shared" si="2"/>
        <v>Pratiksha Thorat</v>
      </c>
      <c r="G37" t="str">
        <f>VLOOKUP(Table1[[#This Row],[Cust_ID]],Table4[#All],2,0)</f>
        <v>Personal Loan</v>
      </c>
      <c r="H37" t="str">
        <f t="shared" si="3"/>
        <v>Pratiksha Thorat</v>
      </c>
      <c r="I37" t="str">
        <f t="shared" si="4"/>
        <v>Risk</v>
      </c>
    </row>
    <row r="38" spans="1:9">
      <c r="A38" s="6">
        <v>137</v>
      </c>
      <c r="B38" s="2" t="s">
        <v>45</v>
      </c>
      <c r="C38" s="1" t="s">
        <v>22</v>
      </c>
      <c r="D38" s="3">
        <f>VLOOKUP(A38,Loan_Accounts!$A$1:$E$51,4,0)</f>
        <v>1100000</v>
      </c>
      <c r="E38" s="3">
        <f>VLOOKUP(A38,Loan_Accounts!$A$1:$E$51,5,0)</f>
        <v>0</v>
      </c>
      <c r="F38" s="7" t="str">
        <f t="shared" si="2"/>
        <v>Siddharth Shah</v>
      </c>
      <c r="G38" t="str">
        <f>VLOOKUP(Table1[[#This Row],[Cust_ID]],Table4[#All],2,0)</f>
        <v>Vehicle Loan</v>
      </c>
      <c r="H38" t="str">
        <f t="shared" si="3"/>
        <v>Siddharth Shah</v>
      </c>
      <c r="I38" t="str">
        <f t="shared" si="4"/>
        <v>Safe</v>
      </c>
    </row>
    <row r="39" spans="1:9">
      <c r="A39" s="6">
        <v>138</v>
      </c>
      <c r="B39" s="2" t="s">
        <v>46</v>
      </c>
      <c r="C39" s="1" t="s">
        <v>8</v>
      </c>
      <c r="D39" s="3">
        <f>VLOOKUP(A39,Loan_Accounts!$A$1:$E$51,4,0)</f>
        <v>300000</v>
      </c>
      <c r="E39" s="3">
        <f>VLOOKUP(A39,Loan_Accounts!$A$1:$E$51,5,0)</f>
        <v>25</v>
      </c>
      <c r="F39" s="7" t="str">
        <f t="shared" si="2"/>
        <v>Harshal Gawde</v>
      </c>
      <c r="G39" t="str">
        <f>VLOOKUP(Table1[[#This Row],[Cust_ID]],Table4[#All],2,0)</f>
        <v>Gold Loan</v>
      </c>
      <c r="H39" t="str">
        <f t="shared" si="3"/>
        <v>Harshal Gawde</v>
      </c>
      <c r="I39" t="str">
        <f t="shared" si="4"/>
        <v>Safe</v>
      </c>
    </row>
    <row r="40" spans="1:9">
      <c r="A40" s="6">
        <v>139</v>
      </c>
      <c r="B40" s="2" t="s">
        <v>47</v>
      </c>
      <c r="C40" s="1" t="s">
        <v>6</v>
      </c>
      <c r="D40" s="3">
        <f>VLOOKUP(A40,Loan_Accounts!$A$1:$E$51,4,0)</f>
        <v>3700000</v>
      </c>
      <c r="E40" s="3">
        <f>VLOOKUP(A40,Loan_Accounts!$A$1:$E$51,5,0)</f>
        <v>0</v>
      </c>
      <c r="F40" s="7" t="str">
        <f t="shared" si="2"/>
        <v>Rupali Nikam</v>
      </c>
      <c r="G40" t="str">
        <f>VLOOKUP(Table1[[#This Row],[Cust_ID]],Table4[#All],2,0)</f>
        <v>Home Loan</v>
      </c>
      <c r="H40" t="str">
        <f t="shared" si="3"/>
        <v>Rupali Nikam</v>
      </c>
      <c r="I40" t="str">
        <f t="shared" si="4"/>
        <v>Safe</v>
      </c>
    </row>
    <row r="41" spans="1:9">
      <c r="A41" s="6">
        <v>140</v>
      </c>
      <c r="B41" s="2" t="s">
        <v>48</v>
      </c>
      <c r="C41" s="1" t="s">
        <v>10</v>
      </c>
      <c r="D41" s="3">
        <f>VLOOKUP(A41,Loan_Accounts!$A$1:$E$51,4,0)</f>
        <v>400000</v>
      </c>
      <c r="E41" s="3">
        <f>VLOOKUP(A41,Loan_Accounts!$A$1:$E$51,5,0)</f>
        <v>118</v>
      </c>
      <c r="F41" s="7" t="str">
        <f t="shared" si="2"/>
        <v>Vishal Shinde</v>
      </c>
      <c r="G41" t="str">
        <f>VLOOKUP(Table1[[#This Row],[Cust_ID]],Table4[#All],2,0)</f>
        <v>Personal Loan</v>
      </c>
      <c r="H41" t="str">
        <f t="shared" si="3"/>
        <v>Vishal Shinde</v>
      </c>
      <c r="I41" t="str">
        <f t="shared" si="4"/>
        <v>Risk</v>
      </c>
    </row>
    <row r="42" spans="1:9">
      <c r="A42" s="6">
        <v>141</v>
      </c>
      <c r="B42" s="2" t="s">
        <v>49</v>
      </c>
      <c r="C42" s="1" t="s">
        <v>4</v>
      </c>
      <c r="D42" s="3">
        <f>VLOOKUP(A42,Loan_Accounts!$A$1:$E$51,4,0)</f>
        <v>800000</v>
      </c>
      <c r="E42" s="3">
        <f>VLOOKUP(A42,Loan_Accounts!$A$1:$E$51,5,0)</f>
        <v>0</v>
      </c>
      <c r="F42" s="7" t="str">
        <f t="shared" si="2"/>
        <v>Swapnil Joshi</v>
      </c>
      <c r="G42" t="str">
        <f>VLOOKUP(Table1[[#This Row],[Cust_ID]],Table4[#All],2,0)</f>
        <v>Vehicle Loan</v>
      </c>
      <c r="H42" t="str">
        <f t="shared" si="3"/>
        <v>Swapnil Joshi</v>
      </c>
      <c r="I42" t="str">
        <f t="shared" si="4"/>
        <v>Safe</v>
      </c>
    </row>
    <row r="43" spans="1:9">
      <c r="A43" s="6">
        <v>142</v>
      </c>
      <c r="B43" s="2" t="s">
        <v>50</v>
      </c>
      <c r="C43" s="1" t="s">
        <v>24</v>
      </c>
      <c r="D43" s="3">
        <f>VLOOKUP(A43,Loan_Accounts!$A$1:$E$51,4,0)</f>
        <v>120000</v>
      </c>
      <c r="E43" s="3">
        <f>VLOOKUP(A43,Loan_Accounts!$A$1:$E$51,5,0)</f>
        <v>0</v>
      </c>
      <c r="F43" s="7" t="str">
        <f t="shared" si="2"/>
        <v>Snehal Patil</v>
      </c>
      <c r="G43" t="str">
        <f>VLOOKUP(Table1[[#This Row],[Cust_ID]],Table4[#All],2,0)</f>
        <v>Gold Loan</v>
      </c>
      <c r="H43" t="str">
        <f t="shared" si="3"/>
        <v>Snehal Patil</v>
      </c>
      <c r="I43" t="str">
        <f t="shared" si="4"/>
        <v>Safe</v>
      </c>
    </row>
    <row r="44" spans="1:9">
      <c r="A44" s="6">
        <v>143</v>
      </c>
      <c r="B44" s="2" t="s">
        <v>51</v>
      </c>
      <c r="C44" s="1" t="s">
        <v>10</v>
      </c>
      <c r="D44" s="3">
        <f>VLOOKUP(A44,Loan_Accounts!$A$1:$E$51,4,0)</f>
        <v>2300000</v>
      </c>
      <c r="E44" s="3">
        <f>VLOOKUP(A44,Loan_Accounts!$A$1:$E$51,5,0)</f>
        <v>40</v>
      </c>
      <c r="F44" s="7" t="str">
        <f t="shared" si="2"/>
        <v>Vaibhav Mane</v>
      </c>
      <c r="G44" t="str">
        <f>VLOOKUP(Table1[[#This Row],[Cust_ID]],Table4[#All],2,0)</f>
        <v>Home Loan</v>
      </c>
      <c r="H44" t="str">
        <f t="shared" si="3"/>
        <v>Vaibhav Mane</v>
      </c>
      <c r="I44" t="str">
        <f t="shared" si="4"/>
        <v>Safe</v>
      </c>
    </row>
    <row r="45" spans="1:9">
      <c r="A45" s="6">
        <v>144</v>
      </c>
      <c r="B45" s="2" t="s">
        <v>52</v>
      </c>
      <c r="C45" s="1" t="s">
        <v>6</v>
      </c>
      <c r="D45" s="3">
        <f>VLOOKUP(A45,Loan_Accounts!$A$1:$E$51,4,0)</f>
        <v>500000</v>
      </c>
      <c r="E45" s="3">
        <f>VLOOKUP(A45,Loan_Accounts!$A$1:$E$51,5,0)</f>
        <v>101</v>
      </c>
      <c r="F45" s="7" t="str">
        <f t="shared" si="2"/>
        <v>Akshay Kadam</v>
      </c>
      <c r="G45" t="str">
        <f>VLOOKUP(Table1[[#This Row],[Cust_ID]],Table4[#All],2,0)</f>
        <v>Personal Loan</v>
      </c>
      <c r="H45" t="str">
        <f t="shared" si="3"/>
        <v>Akshay Kadam</v>
      </c>
      <c r="I45" t="str">
        <f t="shared" si="4"/>
        <v>Risk</v>
      </c>
    </row>
    <row r="46" spans="1:9">
      <c r="A46" s="6">
        <v>145</v>
      </c>
      <c r="B46" s="2" t="s">
        <v>53</v>
      </c>
      <c r="C46" s="1" t="s">
        <v>8</v>
      </c>
      <c r="D46" s="3">
        <f>VLOOKUP(A46,Loan_Accounts!$A$1:$E$51,4,0)</f>
        <v>450000</v>
      </c>
      <c r="E46" s="3">
        <f>VLOOKUP(A46,Loan_Accounts!$A$1:$E$51,5,0)</f>
        <v>0</v>
      </c>
      <c r="F46" s="7" t="str">
        <f t="shared" si="2"/>
        <v>Jyoti Bhosale</v>
      </c>
      <c r="G46" t="str">
        <f>VLOOKUP(Table1[[#This Row],[Cust_ID]],Table4[#All],2,0)</f>
        <v>Vehicle Loan</v>
      </c>
      <c r="H46" t="str">
        <f t="shared" si="3"/>
        <v>Jyoti Bhosale</v>
      </c>
      <c r="I46" t="str">
        <f t="shared" si="4"/>
        <v>Safe</v>
      </c>
    </row>
    <row r="47" spans="1:9">
      <c r="A47" s="6">
        <v>146</v>
      </c>
      <c r="B47" s="2" t="s">
        <v>54</v>
      </c>
      <c r="C47" s="1" t="s">
        <v>22</v>
      </c>
      <c r="D47" s="3">
        <f>VLOOKUP(A47,Loan_Accounts!$A$1:$E$51,4,0)</f>
        <v>350000</v>
      </c>
      <c r="E47" s="3">
        <f>VLOOKUP(A47,Loan_Accounts!$A$1:$E$51,5,0)</f>
        <v>0</v>
      </c>
      <c r="F47" s="7" t="str">
        <f t="shared" si="2"/>
        <v>Pradeep Naik</v>
      </c>
      <c r="G47" t="str">
        <f>VLOOKUP(Table1[[#This Row],[Cust_ID]],Table4[#All],2,0)</f>
        <v>Gold Loan</v>
      </c>
      <c r="H47" t="str">
        <f t="shared" si="3"/>
        <v>Pradeep Naik</v>
      </c>
      <c r="I47" t="str">
        <f t="shared" si="4"/>
        <v>Safe</v>
      </c>
    </row>
    <row r="48" spans="1:9">
      <c r="A48" s="6">
        <v>147</v>
      </c>
      <c r="B48" s="2" t="s">
        <v>55</v>
      </c>
      <c r="C48" s="1" t="s">
        <v>4</v>
      </c>
      <c r="D48" s="3">
        <f>VLOOKUP(A48,Loan_Accounts!$A$1:$E$51,4,0)</f>
        <v>3400000</v>
      </c>
      <c r="E48" s="3">
        <f>VLOOKUP(A48,Loan_Accounts!$A$1:$E$51,5,0)</f>
        <v>145</v>
      </c>
      <c r="F48" s="7" t="str">
        <f t="shared" si="2"/>
        <v>Mayur Jadhav</v>
      </c>
      <c r="G48" t="str">
        <f>VLOOKUP(Table1[[#This Row],[Cust_ID]],Table4[#All],2,0)</f>
        <v>Home Loan</v>
      </c>
      <c r="H48" t="str">
        <f t="shared" si="3"/>
        <v>Mayur Jadhav</v>
      </c>
      <c r="I48" t="str">
        <f t="shared" si="4"/>
        <v>Risk</v>
      </c>
    </row>
    <row r="49" spans="1:9">
      <c r="A49" s="6">
        <v>148</v>
      </c>
      <c r="B49" s="2" t="s">
        <v>56</v>
      </c>
      <c r="C49" s="1" t="s">
        <v>6</v>
      </c>
      <c r="D49" s="3">
        <f>VLOOKUP(A49,Loan_Accounts!$A$1:$E$51,4,0)</f>
        <v>150000</v>
      </c>
      <c r="E49" s="3">
        <f>VLOOKUP(A49,Loan_Accounts!$A$1:$E$51,5,0)</f>
        <v>10</v>
      </c>
      <c r="F49" s="7" t="str">
        <f t="shared" si="2"/>
        <v>Shweta Pawar</v>
      </c>
      <c r="G49" t="str">
        <f>VLOOKUP(Table1[[#This Row],[Cust_ID]],Table4[#All],2,0)</f>
        <v>Personal Loan</v>
      </c>
      <c r="H49" t="str">
        <f t="shared" si="3"/>
        <v>Shweta Pawar</v>
      </c>
      <c r="I49" t="str">
        <f t="shared" si="4"/>
        <v>Safe</v>
      </c>
    </row>
    <row r="50" spans="1:9">
      <c r="A50" s="6">
        <v>149</v>
      </c>
      <c r="B50" s="2" t="s">
        <v>57</v>
      </c>
      <c r="C50" s="1" t="s">
        <v>10</v>
      </c>
      <c r="D50" s="3">
        <f>VLOOKUP(A50,Loan_Accounts!$A$1:$E$51,4,0)</f>
        <v>1200000</v>
      </c>
      <c r="E50" s="3">
        <f>VLOOKUP(A50,Loan_Accounts!$A$1:$E$51,5,0)</f>
        <v>0</v>
      </c>
      <c r="F50" s="7" t="str">
        <f t="shared" si="2"/>
        <v>Santosh More</v>
      </c>
      <c r="G50" t="str">
        <f>VLOOKUP(Table1[[#This Row],[Cust_ID]],Table4[#All],2,0)</f>
        <v>Vehicle Loan</v>
      </c>
      <c r="H50" t="str">
        <f t="shared" si="3"/>
        <v>Santosh More</v>
      </c>
      <c r="I50" t="str">
        <f t="shared" si="4"/>
        <v>Safe</v>
      </c>
    </row>
    <row r="51" spans="1:9">
      <c r="A51" s="11">
        <v>150</v>
      </c>
      <c r="B51" s="12" t="s">
        <v>58</v>
      </c>
      <c r="C51" s="13" t="s">
        <v>8</v>
      </c>
      <c r="D51" s="14">
        <f>VLOOKUP(A51,Loan_Accounts!$A$1:$E$51,4,0)</f>
        <v>80000</v>
      </c>
      <c r="E51" s="14">
        <f>VLOOKUP(A51,Loan_Accounts!$A$1:$E$51,5,0)</f>
        <v>0</v>
      </c>
      <c r="F51" s="15" t="str">
        <f t="shared" si="2"/>
        <v>Vinayak Patil</v>
      </c>
      <c r="G51" t="str">
        <f>VLOOKUP(Table1[[#This Row],[Cust_ID]],Table4[#All],2,0)</f>
        <v>Gold Loan</v>
      </c>
      <c r="H51" t="str">
        <f t="shared" si="3"/>
        <v>Vinayak Patil</v>
      </c>
      <c r="I51" t="str">
        <f t="shared" si="4"/>
        <v>Safe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6981B-8A8F-43EB-A4B5-9073896636B7}">
  <dimension ref="A1:E51"/>
  <sheetViews>
    <sheetView workbookViewId="0">
      <selection activeCell="K17" sqref="K17"/>
    </sheetView>
  </sheetViews>
  <sheetFormatPr defaultRowHeight="14.4"/>
  <cols>
    <col min="1" max="1" width="10.44140625" customWidth="1"/>
    <col min="2" max="2" width="12.44140625" bestFit="1" customWidth="1"/>
    <col min="3" max="3" width="14.88671875" customWidth="1"/>
    <col min="4" max="4" width="13.21875" customWidth="1"/>
    <col min="5" max="5" width="10.44140625" customWidth="1"/>
    <col min="8" max="9" width="10.44140625" customWidth="1"/>
  </cols>
  <sheetData>
    <row r="1" spans="1:5">
      <c r="A1" s="20" t="s">
        <v>0</v>
      </c>
      <c r="B1" s="21" t="s">
        <v>59</v>
      </c>
      <c r="C1" s="21" t="s">
        <v>60</v>
      </c>
      <c r="D1" s="21" t="s">
        <v>61</v>
      </c>
      <c r="E1" s="21" t="s">
        <v>62</v>
      </c>
    </row>
    <row r="2" spans="1:5">
      <c r="A2" s="19">
        <v>101</v>
      </c>
      <c r="B2" s="17" t="s">
        <v>63</v>
      </c>
      <c r="C2" s="17">
        <v>2500000</v>
      </c>
      <c r="D2" s="17">
        <v>1800000</v>
      </c>
      <c r="E2" s="17">
        <v>0</v>
      </c>
    </row>
    <row r="3" spans="1:5">
      <c r="A3" s="18">
        <v>102</v>
      </c>
      <c r="B3" s="16" t="s">
        <v>64</v>
      </c>
      <c r="C3" s="16">
        <v>500000</v>
      </c>
      <c r="D3" s="16">
        <v>450000</v>
      </c>
      <c r="E3" s="16">
        <v>120</v>
      </c>
    </row>
    <row r="4" spans="1:5">
      <c r="A4" s="19">
        <v>103</v>
      </c>
      <c r="B4" s="17" t="s">
        <v>65</v>
      </c>
      <c r="C4" s="17">
        <v>300000</v>
      </c>
      <c r="D4" s="17">
        <v>150000</v>
      </c>
      <c r="E4" s="17">
        <v>45</v>
      </c>
    </row>
    <row r="5" spans="1:5">
      <c r="A5" s="18">
        <v>104</v>
      </c>
      <c r="B5" s="16" t="s">
        <v>63</v>
      </c>
      <c r="C5" s="16">
        <v>4000000</v>
      </c>
      <c r="D5" s="16">
        <v>3500000</v>
      </c>
      <c r="E5" s="16">
        <v>95</v>
      </c>
    </row>
    <row r="6" spans="1:5">
      <c r="A6" s="19">
        <v>105</v>
      </c>
      <c r="B6" s="17" t="s">
        <v>64</v>
      </c>
      <c r="C6" s="17">
        <v>200000</v>
      </c>
      <c r="D6" s="17">
        <v>50000</v>
      </c>
      <c r="E6" s="17">
        <v>15</v>
      </c>
    </row>
    <row r="7" spans="1:5">
      <c r="A7" s="18">
        <v>106</v>
      </c>
      <c r="B7" s="16" t="s">
        <v>65</v>
      </c>
      <c r="C7" s="16">
        <v>150000</v>
      </c>
      <c r="D7" s="16">
        <v>30000</v>
      </c>
      <c r="E7" s="16">
        <v>0</v>
      </c>
    </row>
    <row r="8" spans="1:5">
      <c r="A8" s="19">
        <v>107</v>
      </c>
      <c r="B8" s="17" t="s">
        <v>63</v>
      </c>
      <c r="C8" s="17">
        <v>5000000</v>
      </c>
      <c r="D8" s="17">
        <v>4200000</v>
      </c>
      <c r="E8" s="17" t="s">
        <v>66</v>
      </c>
    </row>
    <row r="9" spans="1:5">
      <c r="A9" s="18">
        <v>108</v>
      </c>
      <c r="B9" s="16" t="s">
        <v>64</v>
      </c>
      <c r="C9" s="16">
        <v>800000</v>
      </c>
      <c r="D9" s="16">
        <v>700000</v>
      </c>
      <c r="E9" s="16">
        <v>110</v>
      </c>
    </row>
    <row r="10" spans="1:5">
      <c r="A10" s="19">
        <v>109</v>
      </c>
      <c r="B10" s="17" t="s">
        <v>67</v>
      </c>
      <c r="C10" s="17">
        <v>1200000</v>
      </c>
      <c r="D10" s="17">
        <v>900000</v>
      </c>
      <c r="E10" s="17">
        <v>30</v>
      </c>
    </row>
    <row r="11" spans="1:5">
      <c r="A11" s="18">
        <v>110</v>
      </c>
      <c r="B11" s="16" t="s">
        <v>63</v>
      </c>
      <c r="C11" s="16">
        <v>3000000</v>
      </c>
      <c r="D11" s="16">
        <v>2700000</v>
      </c>
      <c r="E11" s="16">
        <v>150</v>
      </c>
    </row>
    <row r="12" spans="1:5">
      <c r="A12" s="19">
        <v>111</v>
      </c>
      <c r="B12" s="17" t="s">
        <v>64</v>
      </c>
      <c r="C12" s="17">
        <v>300000</v>
      </c>
      <c r="D12" s="17">
        <v>200000</v>
      </c>
      <c r="E12" s="17">
        <v>0</v>
      </c>
    </row>
    <row r="13" spans="1:5">
      <c r="A13" s="18">
        <v>112</v>
      </c>
      <c r="B13" s="16" t="s">
        <v>65</v>
      </c>
      <c r="C13" s="16">
        <v>500000</v>
      </c>
      <c r="D13" s="16">
        <v>250000</v>
      </c>
      <c r="E13" s="16">
        <v>60</v>
      </c>
    </row>
    <row r="14" spans="1:5">
      <c r="A14" s="19">
        <v>113</v>
      </c>
      <c r="B14" s="17" t="s">
        <v>67</v>
      </c>
      <c r="C14" s="17">
        <v>700000</v>
      </c>
      <c r="D14" s="17">
        <v>500000</v>
      </c>
      <c r="E14" s="17">
        <v>0</v>
      </c>
    </row>
    <row r="15" spans="1:5">
      <c r="A15" s="18">
        <v>114</v>
      </c>
      <c r="B15" s="16" t="s">
        <v>63</v>
      </c>
      <c r="C15" s="16">
        <v>1800000</v>
      </c>
      <c r="D15" s="16">
        <v>1400000</v>
      </c>
      <c r="E15" s="16">
        <v>92</v>
      </c>
    </row>
    <row r="16" spans="1:5">
      <c r="A16" s="19">
        <v>115</v>
      </c>
      <c r="B16" s="17" t="s">
        <v>64</v>
      </c>
      <c r="C16" s="17">
        <v>400000</v>
      </c>
      <c r="D16" s="17">
        <v>350000</v>
      </c>
      <c r="E16" s="17">
        <v>40</v>
      </c>
    </row>
    <row r="17" spans="1:5">
      <c r="A17" s="18">
        <v>116</v>
      </c>
      <c r="B17" s="16" t="s">
        <v>65</v>
      </c>
      <c r="C17" s="16">
        <v>250000</v>
      </c>
      <c r="D17" s="16">
        <v>100000</v>
      </c>
      <c r="E17" s="16">
        <v>0</v>
      </c>
    </row>
    <row r="18" spans="1:5">
      <c r="A18" s="19">
        <v>117</v>
      </c>
      <c r="B18" s="17" t="s">
        <v>63</v>
      </c>
      <c r="C18" s="17">
        <v>3500000</v>
      </c>
      <c r="D18" s="17">
        <v>3100000</v>
      </c>
      <c r="E18" s="17">
        <v>105</v>
      </c>
    </row>
    <row r="19" spans="1:5">
      <c r="A19" s="18">
        <v>118</v>
      </c>
      <c r="B19" s="16" t="s">
        <v>64</v>
      </c>
      <c r="C19" s="16">
        <v>600000</v>
      </c>
      <c r="D19" s="16">
        <v>550000</v>
      </c>
      <c r="E19" s="16">
        <v>0</v>
      </c>
    </row>
    <row r="20" spans="1:5">
      <c r="A20" s="19">
        <v>119</v>
      </c>
      <c r="B20" s="17" t="s">
        <v>67</v>
      </c>
      <c r="C20" s="17">
        <v>900000</v>
      </c>
      <c r="D20" s="17">
        <v>750000</v>
      </c>
      <c r="E20" s="17">
        <v>15</v>
      </c>
    </row>
    <row r="21" spans="1:5">
      <c r="A21" s="18">
        <v>120</v>
      </c>
      <c r="B21" s="16" t="s">
        <v>65</v>
      </c>
      <c r="C21" s="16">
        <v>400000</v>
      </c>
      <c r="D21" s="16">
        <v>200000</v>
      </c>
      <c r="E21" s="16">
        <v>98</v>
      </c>
    </row>
    <row r="22" spans="1:5">
      <c r="A22" s="19">
        <v>121</v>
      </c>
      <c r="B22" s="17" t="s">
        <v>63</v>
      </c>
      <c r="C22" s="17">
        <v>4500000</v>
      </c>
      <c r="D22" s="17">
        <v>3900000</v>
      </c>
      <c r="E22" s="17">
        <v>0</v>
      </c>
    </row>
    <row r="23" spans="1:5">
      <c r="A23" s="18">
        <v>122</v>
      </c>
      <c r="B23" s="16" t="s">
        <v>64</v>
      </c>
      <c r="C23" s="16">
        <v>250000</v>
      </c>
      <c r="D23" s="16">
        <v>180000</v>
      </c>
      <c r="E23" s="16">
        <v>75</v>
      </c>
    </row>
    <row r="24" spans="1:5">
      <c r="A24" s="19">
        <v>123</v>
      </c>
      <c r="B24" s="17" t="s">
        <v>67</v>
      </c>
      <c r="C24" s="17">
        <v>1500000</v>
      </c>
      <c r="D24" s="17">
        <v>1300000</v>
      </c>
      <c r="E24" s="17">
        <v>115</v>
      </c>
    </row>
    <row r="25" spans="1:5">
      <c r="A25" s="18">
        <v>124</v>
      </c>
      <c r="B25" s="16" t="s">
        <v>63</v>
      </c>
      <c r="C25" s="16">
        <v>2800000</v>
      </c>
      <c r="D25" s="16">
        <v>2400000</v>
      </c>
      <c r="E25" s="16">
        <v>0</v>
      </c>
    </row>
    <row r="26" spans="1:5">
      <c r="A26" s="19">
        <v>125</v>
      </c>
      <c r="B26" s="17" t="s">
        <v>65</v>
      </c>
      <c r="C26" s="17">
        <v>600000</v>
      </c>
      <c r="D26" s="17">
        <v>400000</v>
      </c>
      <c r="E26" s="17">
        <v>35</v>
      </c>
    </row>
    <row r="27" spans="1:5">
      <c r="A27" s="18">
        <v>126</v>
      </c>
      <c r="B27" s="16" t="s">
        <v>64</v>
      </c>
      <c r="C27" s="16">
        <v>500000</v>
      </c>
      <c r="D27" s="16">
        <v>420000</v>
      </c>
      <c r="E27" s="16">
        <v>0</v>
      </c>
    </row>
    <row r="28" spans="1:5">
      <c r="A28" s="19">
        <v>127</v>
      </c>
      <c r="B28" s="17" t="s">
        <v>67</v>
      </c>
      <c r="C28" s="17">
        <v>800000</v>
      </c>
      <c r="D28" s="17">
        <v>600000</v>
      </c>
      <c r="E28" s="17">
        <v>91</v>
      </c>
    </row>
    <row r="29" spans="1:5">
      <c r="A29" s="18">
        <v>128</v>
      </c>
      <c r="B29" s="16" t="s">
        <v>63</v>
      </c>
      <c r="C29" s="16">
        <v>3200000</v>
      </c>
      <c r="D29" s="16">
        <v>2900000</v>
      </c>
      <c r="E29" s="16">
        <v>20</v>
      </c>
    </row>
    <row r="30" spans="1:5">
      <c r="A30" s="19">
        <v>129</v>
      </c>
      <c r="B30" s="17" t="s">
        <v>64</v>
      </c>
      <c r="C30" s="17">
        <v>350000</v>
      </c>
      <c r="D30" s="17">
        <v>300000</v>
      </c>
      <c r="E30" s="17">
        <v>0</v>
      </c>
    </row>
    <row r="31" spans="1:5">
      <c r="A31" s="18">
        <v>130</v>
      </c>
      <c r="B31" s="16" t="s">
        <v>65</v>
      </c>
      <c r="C31" s="16">
        <v>200000</v>
      </c>
      <c r="D31" s="16">
        <v>50000</v>
      </c>
      <c r="E31" s="16">
        <v>0</v>
      </c>
    </row>
    <row r="32" spans="1:5">
      <c r="A32" s="19">
        <v>131</v>
      </c>
      <c r="B32" s="17" t="s">
        <v>63</v>
      </c>
      <c r="C32" s="17">
        <v>6000000</v>
      </c>
      <c r="D32" s="17">
        <v>5400000</v>
      </c>
      <c r="E32" s="17">
        <v>130</v>
      </c>
    </row>
    <row r="33" spans="1:5">
      <c r="A33" s="18">
        <v>132</v>
      </c>
      <c r="B33" s="16" t="s">
        <v>64</v>
      </c>
      <c r="C33" s="16">
        <v>150000</v>
      </c>
      <c r="D33" s="16">
        <v>120000</v>
      </c>
      <c r="E33" s="16">
        <v>45</v>
      </c>
    </row>
    <row r="34" spans="1:5">
      <c r="A34" s="19">
        <v>133</v>
      </c>
      <c r="B34" s="17" t="s">
        <v>67</v>
      </c>
      <c r="C34" s="17">
        <v>1100000</v>
      </c>
      <c r="D34" s="17">
        <v>850000</v>
      </c>
      <c r="E34" s="17">
        <v>0</v>
      </c>
    </row>
    <row r="35" spans="1:5">
      <c r="A35" s="18">
        <v>134</v>
      </c>
      <c r="B35" s="16" t="s">
        <v>65</v>
      </c>
      <c r="C35" s="16">
        <v>350000</v>
      </c>
      <c r="D35" s="16">
        <v>150000</v>
      </c>
      <c r="E35" s="16">
        <v>0</v>
      </c>
    </row>
    <row r="36" spans="1:5">
      <c r="A36" s="19">
        <v>135</v>
      </c>
      <c r="B36" s="17" t="s">
        <v>63</v>
      </c>
      <c r="C36" s="17">
        <v>2200000</v>
      </c>
      <c r="D36" s="17">
        <v>1900000</v>
      </c>
      <c r="E36" s="17">
        <v>96</v>
      </c>
    </row>
    <row r="37" spans="1:5">
      <c r="A37" s="18">
        <v>136</v>
      </c>
      <c r="B37" s="16" t="s">
        <v>64</v>
      </c>
      <c r="C37" s="16">
        <v>700000</v>
      </c>
      <c r="D37" s="16">
        <v>650000</v>
      </c>
      <c r="E37" s="16">
        <v>102</v>
      </c>
    </row>
    <row r="38" spans="1:5">
      <c r="A38" s="19">
        <v>137</v>
      </c>
      <c r="B38" s="17" t="s">
        <v>67</v>
      </c>
      <c r="C38" s="17">
        <v>1300000</v>
      </c>
      <c r="D38" s="17">
        <v>1100000</v>
      </c>
      <c r="E38" s="17">
        <v>0</v>
      </c>
    </row>
    <row r="39" spans="1:5">
      <c r="A39" s="18">
        <v>138</v>
      </c>
      <c r="B39" s="16" t="s">
        <v>65</v>
      </c>
      <c r="C39" s="16">
        <v>450000</v>
      </c>
      <c r="D39" s="16">
        <v>300000</v>
      </c>
      <c r="E39" s="16">
        <v>25</v>
      </c>
    </row>
    <row r="40" spans="1:5">
      <c r="A40" s="19">
        <v>139</v>
      </c>
      <c r="B40" s="17" t="s">
        <v>63</v>
      </c>
      <c r="C40" s="17">
        <v>4100000</v>
      </c>
      <c r="D40" s="17">
        <v>3700000</v>
      </c>
      <c r="E40" s="17">
        <v>0</v>
      </c>
    </row>
    <row r="41" spans="1:5">
      <c r="A41" s="18">
        <v>140</v>
      </c>
      <c r="B41" s="16" t="s">
        <v>64</v>
      </c>
      <c r="C41" s="16">
        <v>450000</v>
      </c>
      <c r="D41" s="16">
        <v>400000</v>
      </c>
      <c r="E41" s="16">
        <v>118</v>
      </c>
    </row>
    <row r="42" spans="1:5">
      <c r="A42" s="19">
        <v>141</v>
      </c>
      <c r="B42" s="17" t="s">
        <v>67</v>
      </c>
      <c r="C42" s="17">
        <v>1000000</v>
      </c>
      <c r="D42" s="17">
        <v>800000</v>
      </c>
      <c r="E42" s="17">
        <v>0</v>
      </c>
    </row>
    <row r="43" spans="1:5">
      <c r="A43" s="18">
        <v>142</v>
      </c>
      <c r="B43" s="16" t="s">
        <v>65</v>
      </c>
      <c r="C43" s="16">
        <v>300000</v>
      </c>
      <c r="D43" s="16">
        <v>120000</v>
      </c>
      <c r="E43" s="16">
        <v>0</v>
      </c>
    </row>
    <row r="44" spans="1:5">
      <c r="A44" s="19">
        <v>143</v>
      </c>
      <c r="B44" s="17" t="s">
        <v>63</v>
      </c>
      <c r="C44" s="17">
        <v>2700000</v>
      </c>
      <c r="D44" s="17">
        <v>2300000</v>
      </c>
      <c r="E44" s="17">
        <v>40</v>
      </c>
    </row>
    <row r="45" spans="1:5">
      <c r="A45" s="18">
        <v>144</v>
      </c>
      <c r="B45" s="16" t="s">
        <v>64</v>
      </c>
      <c r="C45" s="16">
        <v>550000</v>
      </c>
      <c r="D45" s="16">
        <v>500000</v>
      </c>
      <c r="E45" s="16">
        <v>101</v>
      </c>
    </row>
    <row r="46" spans="1:5">
      <c r="A46" s="19">
        <v>145</v>
      </c>
      <c r="B46" s="17" t="s">
        <v>67</v>
      </c>
      <c r="C46" s="17">
        <v>650000</v>
      </c>
      <c r="D46" s="17">
        <v>450000</v>
      </c>
      <c r="E46" s="17">
        <v>0</v>
      </c>
    </row>
    <row r="47" spans="1:5">
      <c r="A47" s="18">
        <v>146</v>
      </c>
      <c r="B47" s="16" t="s">
        <v>65</v>
      </c>
      <c r="C47" s="16">
        <v>550000</v>
      </c>
      <c r="D47" s="16">
        <v>350000</v>
      </c>
      <c r="E47" s="16">
        <v>0</v>
      </c>
    </row>
    <row r="48" spans="1:5">
      <c r="A48" s="19">
        <v>147</v>
      </c>
      <c r="B48" s="17" t="s">
        <v>63</v>
      </c>
      <c r="C48" s="17">
        <v>3800000</v>
      </c>
      <c r="D48" s="17">
        <v>3400000</v>
      </c>
      <c r="E48" s="17">
        <v>145</v>
      </c>
    </row>
    <row r="49" spans="1:5">
      <c r="A49" s="18">
        <v>148</v>
      </c>
      <c r="B49" s="16" t="s">
        <v>64</v>
      </c>
      <c r="C49" s="16">
        <v>200000</v>
      </c>
      <c r="D49" s="16">
        <v>150000</v>
      </c>
      <c r="E49" s="16">
        <v>10</v>
      </c>
    </row>
    <row r="50" spans="1:5">
      <c r="A50" s="19">
        <v>149</v>
      </c>
      <c r="B50" s="17" t="s">
        <v>67</v>
      </c>
      <c r="C50" s="17">
        <v>1400000</v>
      </c>
      <c r="D50" s="17">
        <v>1200000</v>
      </c>
      <c r="E50" s="17">
        <v>0</v>
      </c>
    </row>
    <row r="51" spans="1:5">
      <c r="A51" s="18">
        <v>150</v>
      </c>
      <c r="B51" s="16" t="s">
        <v>65</v>
      </c>
      <c r="C51" s="16">
        <v>250000</v>
      </c>
      <c r="D51" s="16">
        <v>80000</v>
      </c>
      <c r="E51" s="16">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Sheet5</vt:lpstr>
      <vt:lpstr>Customer_Master</vt:lpstr>
      <vt:lpstr>Loan_Accounts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sanket shinde</dc:creator>
  <cp:lastModifiedBy>sanket shinde</cp:lastModifiedBy>
  <dcterms:created xsi:type="dcterms:W3CDTF">2026-05-23T07:19:24Z</dcterms:created>
  <dcterms:modified xsi:type="dcterms:W3CDTF">2026-05-25T16:18:24Z</dcterms:modified>
</cp:coreProperties>
</file>